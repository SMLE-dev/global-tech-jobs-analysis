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202300"/>
  <mc:AlternateContent xmlns:mc="http://schemas.openxmlformats.org/markup-compatibility/2006">
    <mc:Choice Requires="x15">
      <x15ac:absPath xmlns:x15ac="http://schemas.microsoft.com/office/spreadsheetml/2010/11/ac" url="C:\Users\JAH TR L.L.C\Desktop\Sam Data Analysis\"/>
    </mc:Choice>
  </mc:AlternateContent>
  <xr:revisionPtr revIDLastSave="0" documentId="13_ncr:1_{996A2744-A3EA-4204-BFE0-22F0B3920DF1}" xr6:coauthVersionLast="47" xr6:coauthVersionMax="47" xr10:uidLastSave="{00000000-0000-0000-0000-000000000000}"/>
  <bookViews>
    <workbookView xWindow="-120" yWindow="-120" windowWidth="20730" windowHeight="11310" activeTab="3" xr2:uid="{6F39740C-035E-4F2E-A379-51B2E9EB6B2B}"/>
  </bookViews>
  <sheets>
    <sheet name="DATA" sheetId="1" r:id="rId1"/>
    <sheet name="LOOKUP" sheetId="4" r:id="rId2"/>
    <sheet name="PIVOT" sheetId="2" r:id="rId3"/>
    <sheet name="DASHBOARD" sheetId="5" r:id="rId4"/>
  </sheets>
  <definedNames>
    <definedName name="Slicer_Country">#N/A</definedName>
    <definedName name="Slicer_Region">#N/A</definedName>
  </definedNames>
  <calcPr calcId="191029"/>
  <pivotCaches>
    <pivotCache cacheId="36"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I2" i="1" l="1"/>
  <c r="I3" i="1"/>
  <c r="I4" i="1"/>
  <c r="I5" i="1"/>
  <c r="I6" i="1"/>
  <c r="I7" i="1"/>
  <c r="I8" i="1"/>
  <c r="I9" i="1"/>
  <c r="I10" i="1"/>
  <c r="I11" i="1"/>
  <c r="I12" i="1"/>
  <c r="I13" i="1"/>
  <c r="I14" i="1"/>
  <c r="I15" i="1"/>
  <c r="I16" i="1"/>
  <c r="A2" i="4" a="1"/>
  <c r="A2" i="4" s="1"/>
  <c r="H3" i="1" s="1"/>
  <c r="J5" i="5"/>
  <c r="Q5" i="5"/>
  <c r="A72" i="5"/>
  <c r="A67" i="5"/>
  <c r="A62" i="5"/>
  <c r="B5" i="5" l="1"/>
  <c r="H5" i="5"/>
  <c r="L9" i="5" s="1"/>
  <c r="H6" i="1"/>
  <c r="H13" i="1"/>
  <c r="H9" i="1"/>
  <c r="H5" i="1"/>
  <c r="H16" i="1"/>
  <c r="H12" i="1"/>
  <c r="H8" i="1"/>
  <c r="H4" i="1"/>
  <c r="H14" i="1"/>
  <c r="H10" i="1"/>
  <c r="H2" i="1"/>
  <c r="H15" i="1"/>
  <c r="H11" i="1"/>
  <c r="H7" i="1"/>
  <c r="L8" i="5" l="1"/>
  <c r="L11" i="5"/>
  <c r="L10" i="5"/>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<sst xmlns="http://schemas.openxmlformats.org/spreadsheetml/2006/main" count="236" uniqueCount="62">
  <si>
    <t>Job ID</t>
  </si>
  <si>
    <t>Job Title</t>
  </si>
  <si>
    <t>Country</t>
  </si>
  <si>
    <t>Region</t>
  </si>
  <si>
    <t>Work Type</t>
  </si>
  <si>
    <t>Experience</t>
  </si>
  <si>
    <t>Salary USD</t>
  </si>
  <si>
    <t>J001</t>
  </si>
  <si>
    <t>J002</t>
  </si>
  <si>
    <t>J003</t>
  </si>
  <si>
    <t>J004</t>
  </si>
  <si>
    <t>J005</t>
  </si>
  <si>
    <t>J006</t>
  </si>
  <si>
    <t>J007</t>
  </si>
  <si>
    <t>J008</t>
  </si>
  <si>
    <t>J009</t>
  </si>
  <si>
    <t>J010</t>
  </si>
  <si>
    <t>J011</t>
  </si>
  <si>
    <t>J012</t>
  </si>
  <si>
    <t>J013</t>
  </si>
  <si>
    <t>J014</t>
  </si>
  <si>
    <t>J015</t>
  </si>
  <si>
    <t>Data Analyst</t>
  </si>
  <si>
    <t>Software Engineer</t>
  </si>
  <si>
    <t>IT Support Specialist</t>
  </si>
  <si>
    <t>Cybersecurity Analyst</t>
  </si>
  <si>
    <t>Kenya</t>
  </si>
  <si>
    <t>United States</t>
  </si>
  <si>
    <t>Germany</t>
  </si>
  <si>
    <t>United Kingdom</t>
  </si>
  <si>
    <t>India</t>
  </si>
  <si>
    <t>South Africa</t>
  </si>
  <si>
    <t>Canada</t>
  </si>
  <si>
    <t>Africa</t>
  </si>
  <si>
    <t>North America</t>
  </si>
  <si>
    <t>Europe</t>
  </si>
  <si>
    <t>Asia</t>
  </si>
  <si>
    <t>On-site</t>
  </si>
  <si>
    <t>Remote</t>
  </si>
  <si>
    <t>Hybrid</t>
  </si>
  <si>
    <t>Entry</t>
  </si>
  <si>
    <t>Mid</t>
  </si>
  <si>
    <t>Senior</t>
  </si>
  <si>
    <t>Count of Job ID</t>
  </si>
  <si>
    <t>Row Labels</t>
  </si>
  <si>
    <t>Grand Total</t>
  </si>
  <si>
    <t>Average of Salary USD</t>
  </si>
  <si>
    <t>Lookup Region</t>
  </si>
  <si>
    <t>Salary Level</t>
  </si>
  <si>
    <t>Column Labels</t>
  </si>
  <si>
    <t>High</t>
  </si>
  <si>
    <t>Low</t>
  </si>
  <si>
    <t>Medium</t>
  </si>
  <si>
    <t>GLOBAL TECH JOBS DASHBOARD</t>
  </si>
  <si>
    <t>TOTAL JOBS</t>
  </si>
  <si>
    <t>AVERAGE SALARY</t>
  </si>
  <si>
    <t>TOP ROLE JOB</t>
  </si>
  <si>
    <t>REMOTE JOBS</t>
  </si>
  <si>
    <t>KEY INSIGHTS</t>
  </si>
  <si>
    <t>Total Count of Job ID</t>
  </si>
  <si>
    <t>Total Count of Job ID2</t>
  </si>
  <si>
    <t>Count of Job ID2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</si>
</sst>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409]#,##0.00"/>
    <numFmt numFmtId="165" formatCode="[$$-409]#,##0"/>
    <numFmt numFmtId="166" formatCode="_-[$$-409]* #,##0.00_ ;_-[$$-409]* \-#,##0.00\ ;_-[$$-409]* &quot;-&quot;??_ ;_-@_ "/>
  </numFmts>
  <fonts count="9" x14ac:knownFonts="1">
    <font>
      <sz val="11"/>
      <color theme="1"/>
      <name val="Aptos Narrow"/>
      <family val="2"/>
      <scheme val="minor"/>
    </font>
    <font>
      <b/>
      <sz val="11"/>
      <color theme="1"/>
      <name val="Aptos Narrow"/>
      <family val="2"/>
      <scheme val="minor"/>
    </font>
    <font>
      <sz val="8"/>
      <name val="Aptos Narrow"/>
      <family val="2"/>
      <scheme val="minor"/>
    </font>
    <font>
      <b/>
      <sz val="20"/>
      <color theme="4" tint="-0.499984740745262"/>
      <name val="Aptos Narrow"/>
      <family val="2"/>
      <scheme val="minor"/>
    </font>
    <font>
      <b/>
      <sz val="24"/>
      <color theme="2" tint="-0.89999084444715716"/>
      <name val="Aptos Narrow"/>
      <family val="2"/>
      <scheme val="minor"/>
    </font>
    <font>
      <sz val="11"/>
      <color theme="2" tint="-0.749992370372631"/>
      <name val="Aptos Narrow"/>
      <family val="2"/>
      <scheme val="minor"/>
    </font>
    <font>
      <b/>
      <sz val="11"/>
      <color theme="2" tint="-0.749992370372631"/>
      <name val="Aptos Narrow"/>
      <family val="2"/>
      <scheme val="minor"/>
    </font>
    <font>
      <b/>
      <sz val="16"/>
      <color theme="2" tint="-0.89999084444715716"/>
      <name val="Aptos Narrow"/>
      <family val="2"/>
      <scheme val="minor"/>
    </font>
    <font>
      <b/>
      <sz val="16"/>
      <color theme="1"/>
      <name val="Aptos Narrow"/>
      <family val="2"/>
      <scheme val="minor"/>
    </font>
  </fonts>
  <fills count="4">
    <fill>
      <patternFill patternType="none"/>
    </fill>
    <fill>
      <patternFill patternType="gray125"/>
    </fill>
    <fill>
      <patternFill patternType="solid">
        <fgColor theme="0" tint="-0.34998626667073579"/>
        <bgColor indexed="64"/>
      </patternFill>
    </fill>
    <fill>
      <patternFill patternType="solid">
        <fgColor theme="2" tint="-9.9978637043366805E-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7">
    <xf numFmtId="0" fontId="0" fillId="0" borderId="0" xfId="0"/>
    <xf numFmtId="0" fontId="0" fillId="0" borderId="0" xfId="0" applyNumberFormat="1"/>
    <xf numFmtId="0" fontId="0" fillId="0" borderId="0" xfId="0" pivotButton="1"/>
    <xf numFmtId="0" fontId="0" fillId="0" borderId="0" xfId="0" applyAlignment="1">
      <alignment horizontal="left"/>
    </xf>
    <xf numFmtId="164" fontId="0" fillId="0" borderId="0" xfId="0" applyNumberFormat="1"/>
    <xf numFmtId="0" fontId="1" fillId="0" borderId="0" xfId="0" applyFont="1"/>
    <xf numFmtId="166" fontId="0" fillId="0" borderId="0" xfId="0" applyNumberFormat="1"/>
    <xf numFmtId="0" fontId="3" fillId="2" borderId="0" xfId="0" applyFont="1" applyFill="1" applyAlignment="1">
      <alignment horizontal="center"/>
    </xf>
    <xf numFmtId="0" fontId="5" fillId="0" borderId="0" xfId="0" applyFont="1"/>
    <xf numFmtId="0" fontId="6" fillId="0" borderId="1" xfId="0" applyFont="1" applyBorder="1" applyAlignment="1">
      <alignment horizontal="center"/>
    </xf>
    <xf numFmtId="0" fontId="6" fillId="0" borderId="1" xfId="0" applyFont="1" applyBorder="1" applyAlignment="1">
      <alignment horizontal="center"/>
    </xf>
    <xf numFmtId="0" fontId="7" fillId="3" borderId="1" xfId="0" applyFont="1" applyFill="1" applyBorder="1" applyAlignment="1">
      <alignment horizontal="center" vertical="center" wrapText="1" shrinkToFit="1"/>
    </xf>
    <xf numFmtId="0" fontId="8" fillId="0" borderId="0" xfId="0" applyFont="1" applyAlignment="1">
      <alignment horizontal="center"/>
    </xf>
    <xf numFmtId="165" fontId="4" fillId="3" borderId="1" xfId="0" applyNumberFormat="1" applyFont="1" applyFill="1" applyBorder="1" applyAlignment="1">
      <alignment horizontal="center" vertical="center"/>
    </xf>
    <xf numFmtId="0" fontId="4" fillId="3" borderId="1" xfId="0" applyFont="1" applyFill="1" applyBorder="1" applyAlignment="1">
      <alignment horizontal="center" vertical="center"/>
    </xf>
    <xf numFmtId="0" fontId="4" fillId="3" borderId="1" xfId="0" applyFont="1" applyFill="1" applyBorder="1" applyAlignment="1">
      <alignment horizontal="center" vertical="center"/>
    </xf>
    <xf numFmtId="10" fontId="0" fillId="0" borderId="0" xfId="0" applyNumberFormat="1"/>
  </cellXfs>
  <cellStyles count="1">
    <cellStyle name="Normal" xfId="0" builtinId="0"/>
  </cellStyles>
  <dxfs count="95">
    <dxf>
      <numFmt numFmtId="166" formatCode="_-[$$-409]* #,##0.00_ ;_-[$$-409]* \-#,##0.00\ ;_-[$$-409]* &quot;-&quot;??_ ;_-@_ "/>
    </dxf>
    <dxf>
      <numFmt numFmtId="166" formatCode="_-[$$-409]* #,##0.00_ ;_-[$$-409]* \-#,##0.00\ ;_-[$$-409]* &quot;-&quot;??_ ;_-@_ "/>
    </dxf>
    <dxf>
      <numFmt numFmtId="164" formatCode="[$$-409]#,##0.00"/>
    </dxf>
    <dxf>
      <numFmt numFmtId="166" formatCode="_-[$$-409]* #,##0.00_ ;_-[$$-409]* \-#,##0.00\ ;_-[$$-409]* &quot;-&quot;??_ ;_-@_ "/>
    </dxf>
    <dxf>
      <numFmt numFmtId="166" formatCode="_-[$$-409]* #,##0.00_ ;_-[$$-409]* \-#,##0.00\ ;_-[$$-409]* &quot;-&quot;??_ ;_-@_ "/>
    </dxf>
    <dxf>
      <numFmt numFmtId="164" formatCode="[$$-409]#,##0.00"/>
    </dxf>
    <dxf>
      <numFmt numFmtId="166" formatCode="_-[$$-409]* #,##0.00_ ;_-[$$-409]* \-#,##0.00\ ;_-[$$-409]* &quot;-&quot;??_ ;_-@_ "/>
    </dxf>
    <dxf>
      <numFmt numFmtId="166" formatCode="_-[$$-409]* #,##0.00_ ;_-[$$-409]* \-#,##0.00\ ;_-[$$-409]* &quot;-&quot;??_ ;_-@_ "/>
    </dxf>
    <dxf>
      <numFmt numFmtId="164" formatCode="[$$-409]#,##0.00"/>
    </dxf>
    <dxf>
      <numFmt numFmtId="166" formatCode="_-[$$-409]* #,##0.00_ ;_-[$$-409]* \-#,##0.00\ ;_-[$$-409]* &quot;-&quot;??_ ;_-@_ "/>
    </dxf>
    <dxf>
      <numFmt numFmtId="166" formatCode="_-[$$-409]* #,##0.00_ ;_-[$$-409]* \-#,##0.00\ ;_-[$$-409]* &quot;-&quot;??_ ;_-@_ "/>
    </dxf>
    <dxf>
      <numFmt numFmtId="164" formatCode="[$$-409]#,##0.00"/>
    </dxf>
    <dxf>
      <numFmt numFmtId="166" formatCode="_-[$$-409]* #,##0.00_ ;_-[$$-409]* \-#,##0.00\ ;_-[$$-409]* &quot;-&quot;??_ ;_-@_ "/>
    </dxf>
    <dxf>
      <numFmt numFmtId="166" formatCode="_-[$$-409]* #,##0.00_ ;_-[$$-409]* \-#,##0.00\ ;_-[$$-409]* &quot;-&quot;??_ ;_-@_ "/>
    </dxf>
    <dxf>
      <numFmt numFmtId="164" formatCode="[$$-409]#,##0.00"/>
    </dxf>
    <dxf>
      <numFmt numFmtId="166" formatCode="_-[$$-409]* #,##0.00_ ;_-[$$-409]* \-#,##0.00\ ;_-[$$-409]* &quot;-&quot;??_ ;_-@_ "/>
    </dxf>
    <dxf>
      <numFmt numFmtId="166" formatCode="_-[$$-409]* #,##0.00_ ;_-[$$-409]* \-#,##0.00\ ;_-[$$-409]* &quot;-&quot;??_ ;_-@_ "/>
    </dxf>
    <dxf>
      <numFmt numFmtId="164" formatCode="[$$-409]#,##0.00"/>
    </dxf>
    <dxf>
      <numFmt numFmtId="166" formatCode="_-[$$-409]* #,##0.00_ ;_-[$$-409]* \-#,##0.00\ ;_-[$$-409]* &quot;-&quot;??_ ;_-@_ "/>
    </dxf>
    <dxf>
      <numFmt numFmtId="166" formatCode="_-[$$-409]* #,##0.00_ ;_-[$$-409]* \-#,##0.00\ ;_-[$$-409]* &quot;-&quot;??_ ;_-@_ "/>
    </dxf>
    <dxf>
      <numFmt numFmtId="164" formatCode="[$$-409]#,##0.00"/>
    </dxf>
    <dxf>
      <numFmt numFmtId="166" formatCode="_-[$$-409]* #,##0.00_ ;_-[$$-409]* \-#,##0.00\ ;_-[$$-409]* &quot;-&quot;??_ ;_-@_ "/>
    </dxf>
    <dxf>
      <numFmt numFmtId="166" formatCode="_-[$$-409]* #,##0.00_ ;_-[$$-409]* \-#,##0.00\ ;_-[$$-409]* &quot;-&quot;??_ ;_-@_ "/>
    </dxf>
    <dxf>
      <numFmt numFmtId="164" formatCode="[$$-409]#,##0.00"/>
    </dxf>
    <dxf>
      <numFmt numFmtId="166" formatCode="_-[$$-409]* #,##0.00_ ;_-[$$-409]* \-#,##0.00\ ;_-[$$-409]* &quot;-&quot;??_ ;_-@_ "/>
    </dxf>
    <dxf>
      <numFmt numFmtId="166" formatCode="_-[$$-409]* #,##0.00_ ;_-[$$-409]* \-#,##0.00\ ;_-[$$-409]* &quot;-&quot;??_ ;_-@_ "/>
    </dxf>
    <dxf>
      <numFmt numFmtId="164" formatCode="[$$-409]#,##0.00"/>
    </dxf>
    <dxf>
      <numFmt numFmtId="166" formatCode="_-[$$-409]* #,##0.00_ ;_-[$$-409]* \-#,##0.00\ ;_-[$$-409]* &quot;-&quot;??_ ;_-@_ "/>
    </dxf>
    <dxf>
      <numFmt numFmtId="166" formatCode="_-[$$-409]* #,##0.00_ ;_-[$$-409]* \-#,##0.00\ ;_-[$$-409]* &quot;-&quot;??_ ;_-@_ "/>
    </dxf>
    <dxf>
      <numFmt numFmtId="164" formatCode="[$$-409]#,##0.00"/>
    </dxf>
    <dxf>
      <numFmt numFmtId="166" formatCode="_-[$$-409]* #,##0.00_ ;_-[$$-409]* \-#,##0.00\ ;_-[$$-409]* &quot;-&quot;??_ ;_-@_ "/>
    </dxf>
    <dxf>
      <numFmt numFmtId="166" formatCode="_-[$$-409]* #,##0.00_ ;_-[$$-409]* \-#,##0.00\ ;_-[$$-409]* &quot;-&quot;??_ ;_-@_ "/>
    </dxf>
    <dxf>
      <numFmt numFmtId="164" formatCode="[$$-409]#,##0.00"/>
    </dxf>
    <dxf>
      <numFmt numFmtId="166" formatCode="_-[$$-409]* #,##0.00_ ;_-[$$-409]* \-#,##0.00\ ;_-[$$-409]* &quot;-&quot;??_ ;_-@_ "/>
    </dxf>
    <dxf>
      <numFmt numFmtId="166" formatCode="_-[$$-409]* #,##0.00_ ;_-[$$-409]* \-#,##0.00\ ;_-[$$-409]* &quot;-&quot;??_ ;_-@_ "/>
    </dxf>
    <dxf>
      <numFmt numFmtId="164" formatCode="[$$-409]#,##0.00"/>
    </dxf>
    <dxf>
      <numFmt numFmtId="166" formatCode="_-[$$-409]* #,##0.00_ ;_-[$$-409]* \-#,##0.00\ ;_-[$$-409]* &quot;-&quot;??_ ;_-@_ "/>
    </dxf>
    <dxf>
      <numFmt numFmtId="166" formatCode="_-[$$-409]* #,##0.00_ ;_-[$$-409]* \-#,##0.00\ ;_-[$$-409]* &quot;-&quot;??_ ;_-@_ "/>
    </dxf>
    <dxf>
      <numFmt numFmtId="164" formatCode="[$$-409]#,##0.00"/>
    </dxf>
    <dxf>
      <numFmt numFmtId="166" formatCode="_-[$$-409]* #,##0.00_ ;_-[$$-409]* \-#,##0.00\ ;_-[$$-409]* &quot;-&quot;??_ ;_-@_ "/>
    </dxf>
    <dxf>
      <numFmt numFmtId="166" formatCode="_-[$$-409]* #,##0.00_ ;_-[$$-409]* \-#,##0.00\ ;_-[$$-409]* &quot;-&quot;??_ ;_-@_ "/>
    </dxf>
    <dxf>
      <numFmt numFmtId="164" formatCode="[$$-409]#,##0.00"/>
    </dxf>
    <dxf>
      <numFmt numFmtId="166" formatCode="_-[$$-409]* #,##0.00_ ;_-[$$-409]* \-#,##0.00\ ;_-[$$-409]* &quot;-&quot;??_ ;_-@_ "/>
    </dxf>
    <dxf>
      <numFmt numFmtId="166" formatCode="_-[$$-409]* #,##0.00_ ;_-[$$-409]* \-#,##0.00\ ;_-[$$-409]* &quot;-&quot;??_ ;_-@_ "/>
    </dxf>
    <dxf>
      <numFmt numFmtId="164" formatCode="[$$-409]#,##0.00"/>
    </dxf>
    <dxf>
      <numFmt numFmtId="166" formatCode="_-[$$-409]* #,##0.00_ ;_-[$$-409]* \-#,##0.00\ ;_-[$$-409]* &quot;-&quot;??_ ;_-@_ "/>
    </dxf>
    <dxf>
      <numFmt numFmtId="166" formatCode="_-[$$-409]* #,##0.00_ ;_-[$$-409]* \-#,##0.00\ ;_-[$$-409]* &quot;-&quot;??_ ;_-@_ "/>
    </dxf>
    <dxf>
      <numFmt numFmtId="164" formatCode="[$$-409]#,##0.00"/>
    </dxf>
    <dxf>
      <numFmt numFmtId="166" formatCode="_-[$$-409]* #,##0.00_ ;_-[$$-409]* \-#,##0.00\ ;_-[$$-409]* &quot;-&quot;??_ ;_-@_ "/>
    </dxf>
    <dxf>
      <numFmt numFmtId="166" formatCode="_-[$$-409]* #,##0.00_ ;_-[$$-409]* \-#,##0.00\ ;_-[$$-409]* &quot;-&quot;??_ ;_-@_ "/>
    </dxf>
    <dxf>
      <numFmt numFmtId="164" formatCode="[$$-409]#,##0.00"/>
    </dxf>
    <dxf>
      <numFmt numFmtId="166" formatCode="_-[$$-409]* #,##0.00_ ;_-[$$-409]* \-#,##0.00\ ;_-[$$-409]* &quot;-&quot;??_ ;_-@_ "/>
    </dxf>
    <dxf>
      <numFmt numFmtId="166" formatCode="_-[$$-409]* #,##0.00_ ;_-[$$-409]* \-#,##0.00\ ;_-[$$-409]* &quot;-&quot;??_ ;_-@_ "/>
    </dxf>
    <dxf>
      <numFmt numFmtId="164" formatCode="[$$-409]#,##0.00"/>
    </dxf>
    <dxf>
      <numFmt numFmtId="166" formatCode="_-[$$-409]* #,##0.00_ ;_-[$$-409]* \-#,##0.00\ ;_-[$$-409]* &quot;-&quot;??_ ;_-@_ "/>
    </dxf>
    <dxf>
      <numFmt numFmtId="166" formatCode="_-[$$-409]* #,##0.00_ ;_-[$$-409]* \-#,##0.00\ ;_-[$$-409]* &quot;-&quot;??_ ;_-@_ "/>
    </dxf>
    <dxf>
      <numFmt numFmtId="164" formatCode="[$$-409]#,##0.00"/>
    </dxf>
    <dxf>
      <numFmt numFmtId="166" formatCode="_-[$$-409]* #,##0.00_ ;_-[$$-409]* \-#,##0.00\ ;_-[$$-409]* &quot;-&quot;??_ ;_-@_ "/>
    </dxf>
    <dxf>
      <numFmt numFmtId="166" formatCode="_-[$$-409]* #,##0.00_ ;_-[$$-409]* \-#,##0.00\ ;_-[$$-409]* &quot;-&quot;??_ ;_-@_ "/>
    </dxf>
    <dxf>
      <numFmt numFmtId="164" formatCode="[$$-409]#,##0.00"/>
    </dxf>
    <dxf>
      <numFmt numFmtId="166" formatCode="_-[$$-409]* #,##0.00_ ;_-[$$-409]* \-#,##0.00\ ;_-[$$-409]* &quot;-&quot;??_ ;_-@_ "/>
    </dxf>
    <dxf>
      <numFmt numFmtId="166" formatCode="_-[$$-409]* #,##0.00_ ;_-[$$-409]* \-#,##0.00\ ;_-[$$-409]* &quot;-&quot;??_ ;_-@_ "/>
    </dxf>
    <dxf>
      <numFmt numFmtId="164" formatCode="[$$-409]#,##0.00"/>
    </dxf>
    <dxf>
      <numFmt numFmtId="166" formatCode="_-[$$-409]* #,##0.00_ ;_-[$$-409]* \-#,##0.00\ ;_-[$$-409]* &quot;-&quot;??_ ;_-@_ "/>
    </dxf>
    <dxf>
      <numFmt numFmtId="166" formatCode="_-[$$-409]* #,##0.00_ ;_-[$$-409]* \-#,##0.00\ ;_-[$$-409]* &quot;-&quot;??_ ;_-@_ "/>
    </dxf>
    <dxf>
      <numFmt numFmtId="164" formatCode="[$$-409]#,##0.00"/>
    </dxf>
    <dxf>
      <numFmt numFmtId="166" formatCode="_-[$$-409]* #,##0.00_ ;_-[$$-409]* \-#,##0.00\ ;_-[$$-409]* &quot;-&quot;??_ ;_-@_ "/>
    </dxf>
    <dxf>
      <numFmt numFmtId="166" formatCode="_-[$$-409]* #,##0.00_ ;_-[$$-409]* \-#,##0.00\ ;_-[$$-409]* &quot;-&quot;??_ ;_-@_ "/>
    </dxf>
    <dxf>
      <numFmt numFmtId="164" formatCode="[$$-409]#,##0.00"/>
    </dxf>
    <dxf>
      <numFmt numFmtId="166" formatCode="_-[$$-409]* #,##0.00_ ;_-[$$-409]* \-#,##0.00\ ;_-[$$-409]* &quot;-&quot;??_ ;_-@_ "/>
    </dxf>
    <dxf>
      <numFmt numFmtId="166" formatCode="_-[$$-409]* #,##0.00_ ;_-[$$-409]* \-#,##0.00\ ;_-[$$-409]* &quot;-&quot;??_ ;_-@_ "/>
    </dxf>
    <dxf>
      <numFmt numFmtId="164" formatCode="[$$-409]#,##0.00"/>
    </dxf>
    <dxf>
      <numFmt numFmtId="166" formatCode="_-[$$-409]* #,##0.00_ ;_-[$$-409]* \-#,##0.00\ ;_-[$$-409]* &quot;-&quot;??_ ;_-@_ "/>
    </dxf>
    <dxf>
      <numFmt numFmtId="166" formatCode="_-[$$-409]* #,##0.00_ ;_-[$$-409]* \-#,##0.00\ ;_-[$$-409]* &quot;-&quot;??_ ;_-@_ "/>
    </dxf>
    <dxf>
      <numFmt numFmtId="166" formatCode="_-[$$-409]* #,##0.00_ ;_-[$$-409]* \-#,##0.00\ ;_-[$$-409]* &quot;-&quot;??_ ;_-@_ "/>
    </dxf>
    <dxf>
      <numFmt numFmtId="164" formatCode="[$$-409]#,##0.00"/>
    </dxf>
    <dxf>
      <numFmt numFmtId="166" formatCode="_-[$$-409]* #,##0.00_ ;_-[$$-409]* \-#,##0.00\ ;_-[$$-409]* &quot;-&quot;??_ ;_-@_ "/>
    </dxf>
    <dxf>
      <numFmt numFmtId="166" formatCode="_-[$$-409]* #,##0.00_ ;_-[$$-409]* \-#,##0.00\ ;_-[$$-409]* &quot;-&quot;??_ ;_-@_ "/>
    </dxf>
    <dxf>
      <numFmt numFmtId="164" formatCode="[$$-409]#,##0.00"/>
    </dxf>
    <dxf>
      <numFmt numFmtId="166" formatCode="_-[$$-409]* #,##0.00_ ;_-[$$-409]* \-#,##0.00\ ;_-[$$-409]* &quot;-&quot;??_ ;_-@_ "/>
    </dxf>
    <dxf>
      <numFmt numFmtId="166" formatCode="_-[$$-409]* #,##0.00_ ;_-[$$-409]* \-#,##0.00\ ;_-[$$-409]* &quot;-&quot;??_ ;_-@_ "/>
    </dxf>
    <dxf>
      <numFmt numFmtId="164" formatCode="[$$-409]#,##0.00"/>
    </dxf>
    <dxf>
      <numFmt numFmtId="166" formatCode="_-[$$-409]* #,##0.00_ ;_-[$$-409]* \-#,##0.00\ ;_-[$$-409]* &quot;-&quot;??_ ;_-@_ "/>
    </dxf>
    <dxf>
      <numFmt numFmtId="164" formatCode="[$$-409]#,##0.00"/>
    </dxf>
    <dxf>
      <numFmt numFmtId="166" formatCode="_-[$$-409]* #,##0.00_ ;_-[$$-409]* \-#,##0.00\ ;_-[$$-409]* &quot;-&quot;??_ ;_-@_ "/>
    </dxf>
    <dxf>
      <numFmt numFmtId="166" formatCode="_-[$$-409]* #,##0.00_ ;_-[$$-409]* \-#,##0.00\ ;_-[$$-409]* &quot;-&quot;??_ ;_-@_ "/>
    </dxf>
    <dxf>
      <numFmt numFmtId="166" formatCode="_-[$$-409]* #,##0.00_ ;_-[$$-409]* \-#,##0.00\ ;_-[$$-409]* &quot;-&quot;??_ ;_-@_ "/>
    </dxf>
    <dxf>
      <numFmt numFmtId="166" formatCode="_-[$$-409]* #,##0.00_ ;_-[$$-409]* \-#,##0.00\ ;_-[$$-409]* &quot;-&quot;??_ ;_-@_ "/>
    </dxf>
    <dxf>
      <numFmt numFmtId="166" formatCode="_-[$$-409]* #,##0.00_ ;_-[$$-409]* \-#,##0.00\ ;_-[$$-409]* &quot;-&quot;??_ ;_-@_ "/>
    </dxf>
    <dxf>
      <numFmt numFmtId="166" formatCode="_-[$$-409]* #,##0.00_ ;_-[$$-409]* \-#,##0.00\ ;_-[$$-409]* &quot;-&quot;??_ ;_-@_ "/>
    </dxf>
    <dxf>
      <numFmt numFmtId="166" formatCode="_-[$$-409]* #,##0.00_ ;_-[$$-409]* \-#,##0.00\ ;_-[$$-409]* &quot;-&quot;??_ ;_-@_ "/>
    </dxf>
    <dxf>
      <numFmt numFmtId="166" formatCode="_-[$$-409]* #,##0.00_ ;_-[$$-409]* \-#,##0.00\ ;_-[$$-409]* &quot;-&quot;??_ ;_-@_ "/>
    </dxf>
    <dxf>
      <numFmt numFmtId="164" formatCode="[$$-409]#,##0.00"/>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eetMetadata" Target="metadata.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[JOBS Dashboard.xlsx]PIVOT!PivotTable1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Tech Jobs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pPr>
            <a:solidFill>
              <a:schemeClr val="accent1"/>
            </a:solidFill>
            <a:ln w="9525">
              <a:solidFill>
                <a:schemeClr val="accent1"/>
              </a:solidFill>
            </a:ln>
            <a:effectLst/>
          </c:spPr>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PIVOT!$A$4:$A$8</c:f>
              <c:strCache>
                <c:ptCount val="4"/>
                <c:pt idx="0">
                  <c:v>Africa</c:v>
                </c:pt>
                <c:pt idx="1">
                  <c:v>Asia</c:v>
                </c:pt>
                <c:pt idx="2">
                  <c:v>Europe</c:v>
                </c:pt>
                <c:pt idx="3">
                  <c:v>North America</c:v>
                </c:pt>
              </c:strCache>
            </c:strRef>
          </c:cat>
          <c:val>
            <c:numRef>
              <c:f>PIVOT!$B$4:$B$8</c:f>
              <c:numCache>
                <c:formatCode>[$$-409]#,##0.00</c:formatCode>
                <c:ptCount val="4"/>
                <c:pt idx="0">
                  <c:v>20000</c:v>
                </c:pt>
                <c:pt idx="1">
                  <c:v>24666.666666666668</c:v>
                </c:pt>
                <c:pt idx="2">
                  <c:v>63750</c:v>
                </c:pt>
                <c:pt idx="3">
                  <c:v>86750</c:v>
                </c:pt>
              </c:numCache>
            </c:numRef>
          </c:val>
          <c:extLst>
            <c:ext xmlns:c16="http://schemas.microsoft.com/office/drawing/2014/chart" uri="{C3380CC4-5D6E-409C-BE32-E72D297353CC}">
              <c16:uniqueId val="{00000000-4CF3-47FF-B56C-0EB47DCBEB01}"/>
            </c:ext>
          </c:extLst>
        </c:ser>
        <c:dLbls>
          <c:dLblPos val="outEnd"/>
          <c:showLegendKey val="0"/>
          <c:showVal val="1"/>
          <c:showCatName val="0"/>
          <c:showSerName val="0"/>
          <c:showPercent val="0"/>
          <c:showBubbleSize val="0"/>
        </c:dLbls>
        <c:gapWidth val="219"/>
        <c:overlap val="-27"/>
        <c:axId val="1711219023"/>
        <c:axId val="1711222383"/>
      </c:barChart>
      <c:catAx>
        <c:axId val="17112190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1222383"/>
        <c:crosses val="autoZero"/>
        <c:auto val="1"/>
        <c:lblAlgn val="ctr"/>
        <c:lblOffset val="100"/>
        <c:noMultiLvlLbl val="0"/>
      </c:catAx>
      <c:valAx>
        <c:axId val="1711222383"/>
        <c:scaling>
          <c:orientation val="minMax"/>
          <c:max val="5"/>
          <c:min val="0"/>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121902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[JOBS Dashboard.xlsx]PIVOT!PivotTable1</c:name>
    <c:fmtId val="7"/>
  </c:pivotSource>
  <c:chart>
    <c:title>
      <c:tx>
        <c:rich>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r>
              <a:rPr lang="en-US"/>
              <a:t>Average</a:t>
            </a:r>
            <a:r>
              <a:rPr lang="en-US" baseline="0"/>
              <a:t> Salary by Region</a:t>
            </a:r>
          </a:p>
        </c:rich>
      </c:tx>
      <c:overlay val="0"/>
      <c:spPr>
        <a:noFill/>
        <a:ln>
          <a:noFill/>
        </a:ln>
        <a:effectLst/>
      </c:spPr>
      <c:txPr>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PIVOT!$B$3</c:f>
              <c:strCache>
                <c:ptCount val="1"/>
                <c:pt idx="0">
                  <c:v>Total</c:v>
                </c:pt>
              </c:strCache>
            </c:strRef>
          </c:tx>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PIVOT!$A$4:$A$8</c:f>
              <c:strCache>
                <c:ptCount val="4"/>
                <c:pt idx="0">
                  <c:v>Africa</c:v>
                </c:pt>
                <c:pt idx="1">
                  <c:v>Asia</c:v>
                </c:pt>
                <c:pt idx="2">
                  <c:v>Europe</c:v>
                </c:pt>
                <c:pt idx="3">
                  <c:v>North America</c:v>
                </c:pt>
              </c:strCache>
            </c:strRef>
          </c:cat>
          <c:val>
            <c:numRef>
              <c:f>PIVOT!$B$4:$B$8</c:f>
              <c:numCache>
                <c:formatCode>[$$-409]#,##0.00</c:formatCode>
                <c:ptCount val="4"/>
                <c:pt idx="0">
                  <c:v>20000</c:v>
                </c:pt>
                <c:pt idx="1">
                  <c:v>24666.666666666668</c:v>
                </c:pt>
                <c:pt idx="2">
                  <c:v>63750</c:v>
                </c:pt>
                <c:pt idx="3">
                  <c:v>86750</c:v>
                </c:pt>
              </c:numCache>
            </c:numRef>
          </c:val>
          <c:extLst>
            <c:ext xmlns:c16="http://schemas.microsoft.com/office/drawing/2014/chart" uri="{C3380CC4-5D6E-409C-BE32-E72D297353CC}">
              <c16:uniqueId val="{00000000-3D99-409D-8359-084D53508E04}"/>
            </c:ext>
          </c:extLst>
        </c:ser>
        <c:dLbls>
          <c:dLblPos val="inEnd"/>
          <c:showLegendKey val="0"/>
          <c:showVal val="1"/>
          <c:showCatName val="0"/>
          <c:showSerName val="0"/>
          <c:showPercent val="0"/>
          <c:showBubbleSize val="0"/>
        </c:dLbls>
        <c:gapWidth val="41"/>
        <c:axId val="1798244143"/>
        <c:axId val="1798241743"/>
      </c:barChart>
      <c:catAx>
        <c:axId val="179824414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effectLst/>
                <a:latin typeface="+mn-lt"/>
                <a:ea typeface="+mn-ea"/>
                <a:cs typeface="+mn-cs"/>
              </a:defRPr>
            </a:pPr>
            <a:endParaRPr lang="en-US"/>
          </a:p>
        </c:txPr>
        <c:crossAx val="1798241743"/>
        <c:crosses val="autoZero"/>
        <c:auto val="1"/>
        <c:lblAlgn val="ctr"/>
        <c:lblOffset val="100"/>
        <c:noMultiLvlLbl val="0"/>
      </c:catAx>
      <c:valAx>
        <c:axId val="1798241743"/>
        <c:scaling>
          <c:orientation val="minMax"/>
        </c:scaling>
        <c:delete val="1"/>
        <c:axPos val="l"/>
        <c:numFmt formatCode="#,##0,\K" sourceLinked="0"/>
        <c:majorTickMark val="none"/>
        <c:minorTickMark val="none"/>
        <c:tickLblPos val="nextTo"/>
        <c:crossAx val="179824414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6"/>
    </mc:Choice>
    <mc:Fallback>
      <c:style val="6"/>
    </mc:Fallback>
  </mc:AlternateContent>
  <c:pivotSource>
    <c:name>[JOBS Dashboard.xlsx]PIVOT!PivotTable4</c:name>
    <c:fmtId val="2"/>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GB"/>
              <a:t>Work Type Distribution</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solidFill>
            <a:schemeClr val="accent4"/>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4">
              <a:tint val="65000"/>
            </a:schemeClr>
          </a:solidFill>
          <a:ln>
            <a:noFill/>
          </a:ln>
          <a:effectLst>
            <a:outerShdw blurRad="254000" sx="102000" sy="102000" algn="ctr" rotWithShape="0">
              <a:prstClr val="black">
                <a:alpha val="20000"/>
              </a:prstClr>
            </a:outerShdw>
          </a:effectLst>
        </c:spPr>
      </c:pivotFmt>
      <c:pivotFmt>
        <c:idx val="7"/>
        <c:spPr>
          <a:solidFill>
            <a:schemeClr val="accent4"/>
          </a:solidFill>
          <a:ln>
            <a:noFill/>
          </a:ln>
          <a:effectLst>
            <a:outerShdw blurRad="254000" sx="102000" sy="102000" algn="ctr" rotWithShape="0">
              <a:prstClr val="black">
                <a:alpha val="20000"/>
              </a:prstClr>
            </a:outerShdw>
          </a:effectLst>
        </c:spPr>
      </c:pivotFmt>
      <c:pivotFmt>
        <c:idx val="8"/>
        <c:spPr>
          <a:solidFill>
            <a:schemeClr val="accent4">
              <a:shade val="65000"/>
            </a:schemeClr>
          </a:solidFill>
          <a:ln>
            <a:noFill/>
          </a:ln>
          <a:effectLst>
            <a:outerShdw blurRad="254000" sx="102000" sy="102000" algn="ctr" rotWithShape="0">
              <a:prstClr val="black">
                <a:alpha val="20000"/>
              </a:prstClr>
            </a:outerShdw>
          </a:effectLst>
        </c:spPr>
      </c:pivotFmt>
    </c:pivotFmts>
    <c:plotArea>
      <c:layout/>
      <c:doughnutChart>
        <c:varyColors val="1"/>
        <c:ser>
          <c:idx val="0"/>
          <c:order val="0"/>
          <c:tx>
            <c:strRef>
              <c:f>PIVOT!$B$28</c:f>
              <c:strCache>
                <c:ptCount val="1"/>
                <c:pt idx="0">
                  <c:v>Total</c:v>
                </c:pt>
              </c:strCache>
            </c:strRef>
          </c:tx>
          <c:dPt>
            <c:idx val="0"/>
            <c:bubble3D val="0"/>
            <c:spPr>
              <a:solidFill>
                <a:schemeClr val="accent4">
                  <a:tint val="65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A50D-49F5-A94F-D42C72A87078}"/>
              </c:ext>
            </c:extLst>
          </c:dPt>
          <c:dPt>
            <c:idx val="1"/>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A50D-49F5-A94F-D42C72A87078}"/>
              </c:ext>
            </c:extLst>
          </c:dPt>
          <c:dPt>
            <c:idx val="2"/>
            <c:bubble3D val="0"/>
            <c:spPr>
              <a:solidFill>
                <a:schemeClr val="accent4">
                  <a:shade val="65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A50D-49F5-A94F-D42C72A87078}"/>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PIVOT!$A$29:$A$32</c:f>
              <c:strCache>
                <c:ptCount val="3"/>
                <c:pt idx="0">
                  <c:v>Hybrid</c:v>
                </c:pt>
                <c:pt idx="1">
                  <c:v>On-site</c:v>
                </c:pt>
                <c:pt idx="2">
                  <c:v>Remote</c:v>
                </c:pt>
              </c:strCache>
            </c:strRef>
          </c:cat>
          <c:val>
            <c:numRef>
              <c:f>PIVOT!$B$29:$B$32</c:f>
              <c:numCache>
                <c:formatCode>General</c:formatCode>
                <c:ptCount val="3"/>
                <c:pt idx="0">
                  <c:v>5</c:v>
                </c:pt>
                <c:pt idx="1">
                  <c:v>5</c:v>
                </c:pt>
                <c:pt idx="2">
                  <c:v>5</c:v>
                </c:pt>
              </c:numCache>
            </c:numRef>
          </c:val>
          <c:extLst>
            <c:ext xmlns:c16="http://schemas.microsoft.com/office/drawing/2014/chart" uri="{C3380CC4-5D6E-409C-BE32-E72D297353CC}">
              <c16:uniqueId val="{00000006-A50D-49F5-A94F-D42C72A87078}"/>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[JOBS Dashboard.xlsx]PIVOT!PivotTable2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Job</a:t>
            </a:r>
            <a:r>
              <a:rPr lang="en-GB" baseline="0"/>
              <a:t> Ro</a:t>
            </a:r>
            <a:r>
              <a:rPr lang="en-GB"/>
              <a:t>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034292105239426"/>
          <c:y val="0.20008161989155746"/>
          <c:w val="0.63750358524772033"/>
          <c:h val="0.66567274701947521"/>
        </c:manualLayout>
      </c:layout>
      <c:barChart>
        <c:barDir val="bar"/>
        <c:grouping val="clustered"/>
        <c:varyColors val="0"/>
        <c:ser>
          <c:idx val="0"/>
          <c:order val="0"/>
          <c:tx>
            <c:strRef>
              <c:f>PIVOT!$B$11</c:f>
              <c:strCache>
                <c:ptCount val="1"/>
                <c:pt idx="0">
                  <c:v>Total</c:v>
                </c:pt>
              </c:strCache>
            </c:strRef>
          </c:tx>
          <c:spPr>
            <a:solidFill>
              <a:schemeClr val="accent1"/>
            </a:solidFill>
            <a:ln>
              <a:noFill/>
            </a:ln>
            <a:effectLst/>
          </c:spPr>
          <c:invertIfNegative val="0"/>
          <c:cat>
            <c:strRef>
              <c:f>PIVOT!$A$12:$A$16</c:f>
              <c:strCache>
                <c:ptCount val="4"/>
                <c:pt idx="0">
                  <c:v>Data Analyst</c:v>
                </c:pt>
                <c:pt idx="1">
                  <c:v>Software Engineer</c:v>
                </c:pt>
                <c:pt idx="2">
                  <c:v>IT Support Specialist</c:v>
                </c:pt>
                <c:pt idx="3">
                  <c:v>Cybersecurity Analyst</c:v>
                </c:pt>
              </c:strCache>
            </c:strRef>
          </c:cat>
          <c:val>
            <c:numRef>
              <c:f>PIVOT!$B$12:$B$16</c:f>
              <c:numCache>
                <c:formatCode>General</c:formatCode>
                <c:ptCount val="4"/>
                <c:pt idx="0">
                  <c:v>6</c:v>
                </c:pt>
                <c:pt idx="1">
                  <c:v>4</c:v>
                </c:pt>
                <c:pt idx="2">
                  <c:v>3</c:v>
                </c:pt>
                <c:pt idx="3">
                  <c:v>2</c:v>
                </c:pt>
              </c:numCache>
            </c:numRef>
          </c:val>
          <c:extLst>
            <c:ext xmlns:c16="http://schemas.microsoft.com/office/drawing/2014/chart" uri="{C3380CC4-5D6E-409C-BE32-E72D297353CC}">
              <c16:uniqueId val="{00000000-9CD9-48B2-BB58-6F1D08BB9572}"/>
            </c:ext>
          </c:extLst>
        </c:ser>
        <c:dLbls>
          <c:showLegendKey val="0"/>
          <c:showVal val="0"/>
          <c:showCatName val="0"/>
          <c:showSerName val="0"/>
          <c:showPercent val="0"/>
          <c:showBubbleSize val="0"/>
        </c:dLbls>
        <c:gapWidth val="219"/>
        <c:axId val="1884065903"/>
        <c:axId val="1884068783"/>
      </c:barChart>
      <c:catAx>
        <c:axId val="1884065903"/>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4068783"/>
        <c:crosses val="autoZero"/>
        <c:auto val="1"/>
        <c:lblAlgn val="ctr"/>
        <c:lblOffset val="100"/>
        <c:noMultiLvlLbl val="0"/>
      </c:catAx>
      <c:valAx>
        <c:axId val="188406878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406590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[JOBS Dashboard.xlsx]PIVOT!PivotTable7</c:name>
    <c:fmtId val="2"/>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Average</a:t>
            </a:r>
            <a:r>
              <a:rPr lang="en-US" baseline="0"/>
              <a:t> Salary by Country</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PIVOT!$B$43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PIVOT!$A$44:$A$51</c:f>
              <c:strCache>
                <c:ptCount val="7"/>
                <c:pt idx="0">
                  <c:v>United States</c:v>
                </c:pt>
                <c:pt idx="1">
                  <c:v>Canada</c:v>
                </c:pt>
                <c:pt idx="2">
                  <c:v>United Kingdom</c:v>
                </c:pt>
                <c:pt idx="3">
                  <c:v>Germany</c:v>
                </c:pt>
                <c:pt idx="4">
                  <c:v>South Africa</c:v>
                </c:pt>
                <c:pt idx="5">
                  <c:v>India</c:v>
                </c:pt>
                <c:pt idx="6">
                  <c:v>Kenya</c:v>
                </c:pt>
              </c:strCache>
            </c:strRef>
          </c:cat>
          <c:val>
            <c:numRef>
              <c:f>PIVOT!$B$44:$B$51</c:f>
              <c:numCache>
                <c:formatCode>_-[$$-409]* #,##0.00_ ;_-[$$-409]* \-#,##0.00\ ;_-[$$-409]* "-"??_ ;_-@_ </c:formatCode>
                <c:ptCount val="7"/>
                <c:pt idx="0">
                  <c:v>95000</c:v>
                </c:pt>
                <c:pt idx="1">
                  <c:v>78500</c:v>
                </c:pt>
                <c:pt idx="2">
                  <c:v>72000</c:v>
                </c:pt>
                <c:pt idx="3">
                  <c:v>55500</c:v>
                </c:pt>
                <c:pt idx="4">
                  <c:v>30000</c:v>
                </c:pt>
                <c:pt idx="5">
                  <c:v>24666.666666666668</c:v>
                </c:pt>
                <c:pt idx="6">
                  <c:v>16666.666666666668</c:v>
                </c:pt>
              </c:numCache>
            </c:numRef>
          </c:val>
          <c:extLst>
            <c:ext xmlns:c16="http://schemas.microsoft.com/office/drawing/2014/chart" uri="{C3380CC4-5D6E-409C-BE32-E72D297353CC}">
              <c16:uniqueId val="{00000000-9495-44BB-BB8F-B66002C4BB8F}"/>
            </c:ext>
          </c:extLst>
        </c:ser>
        <c:dLbls>
          <c:dLblPos val="inEnd"/>
          <c:showLegendKey val="0"/>
          <c:showVal val="1"/>
          <c:showCatName val="0"/>
          <c:showSerName val="0"/>
          <c:showPercent val="0"/>
          <c:showBubbleSize val="0"/>
        </c:dLbls>
        <c:gapWidth val="65"/>
        <c:axId val="1882506527"/>
        <c:axId val="1882507007"/>
      </c:barChart>
      <c:catAx>
        <c:axId val="1882506527"/>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882507007"/>
        <c:crosses val="autoZero"/>
        <c:auto val="1"/>
        <c:lblAlgn val="ctr"/>
        <c:lblOffset val="100"/>
        <c:noMultiLvlLbl val="0"/>
      </c:catAx>
      <c:valAx>
        <c:axId val="1882507007"/>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K"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88250652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3"/>
    </mc:Choice>
    <mc:Fallback>
      <c:style val="3"/>
    </mc:Fallback>
  </mc:AlternateContent>
  <c:pivotSource>
    <c:name>[JOBS Dashboard.xlsx]PIVOT!PivotTable5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Work</a:t>
            </a:r>
            <a:r>
              <a:rPr lang="en-GB" baseline="0"/>
              <a:t> Type by Region</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PIVOT!$B$54:$B$55</c:f>
              <c:strCache>
                <c:ptCount val="1"/>
                <c:pt idx="0">
                  <c:v>Hybrid</c:v>
                </c:pt>
              </c:strCache>
            </c:strRef>
          </c:tx>
          <c:spPr>
            <a:solidFill>
              <a:schemeClr val="accent1">
                <a:shade val="6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PIVOT!$A$56:$A$60</c:f>
              <c:strCache>
                <c:ptCount val="4"/>
                <c:pt idx="0">
                  <c:v>Africa</c:v>
                </c:pt>
                <c:pt idx="1">
                  <c:v>Asia</c:v>
                </c:pt>
                <c:pt idx="2">
                  <c:v>Europe</c:v>
                </c:pt>
                <c:pt idx="3">
                  <c:v>North America</c:v>
                </c:pt>
              </c:strCache>
            </c:strRef>
          </c:cat>
          <c:val>
            <c:numRef>
              <c:f>PIVOT!$B$56:$B$60</c:f>
              <c:numCache>
                <c:formatCode>General</c:formatCode>
                <c:ptCount val="4"/>
                <c:pt idx="0">
                  <c:v>1</c:v>
                </c:pt>
                <c:pt idx="2">
                  <c:v>2</c:v>
                </c:pt>
                <c:pt idx="3">
                  <c:v>2</c:v>
                </c:pt>
              </c:numCache>
            </c:numRef>
          </c:val>
          <c:extLst>
            <c:ext xmlns:c16="http://schemas.microsoft.com/office/drawing/2014/chart" uri="{C3380CC4-5D6E-409C-BE32-E72D297353CC}">
              <c16:uniqueId val="{00000000-8404-4E6C-991C-150783E99981}"/>
            </c:ext>
          </c:extLst>
        </c:ser>
        <c:ser>
          <c:idx val="1"/>
          <c:order val="1"/>
          <c:tx>
            <c:strRef>
              <c:f>PIVOT!$C$54:$C$55</c:f>
              <c:strCache>
                <c:ptCount val="1"/>
                <c:pt idx="0">
                  <c:v>On-site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PIVOT!$A$56:$A$60</c:f>
              <c:strCache>
                <c:ptCount val="4"/>
                <c:pt idx="0">
                  <c:v>Africa</c:v>
                </c:pt>
                <c:pt idx="1">
                  <c:v>Asia</c:v>
                </c:pt>
                <c:pt idx="2">
                  <c:v>Europe</c:v>
                </c:pt>
                <c:pt idx="3">
                  <c:v>North America</c:v>
                </c:pt>
              </c:strCache>
            </c:strRef>
          </c:cat>
          <c:val>
            <c:numRef>
              <c:f>PIVOT!$C$56:$C$60</c:f>
              <c:numCache>
                <c:formatCode>General</c:formatCode>
                <c:ptCount val="4"/>
                <c:pt idx="0">
                  <c:v>2</c:v>
                </c:pt>
                <c:pt idx="1">
                  <c:v>2</c:v>
                </c:pt>
                <c:pt idx="2">
                  <c:v>1</c:v>
                </c:pt>
              </c:numCache>
            </c:numRef>
          </c:val>
          <c:extLst>
            <c:ext xmlns:c16="http://schemas.microsoft.com/office/drawing/2014/chart" uri="{C3380CC4-5D6E-409C-BE32-E72D297353CC}">
              <c16:uniqueId val="{00000020-8404-4E6C-991C-150783E99981}"/>
            </c:ext>
          </c:extLst>
        </c:ser>
        <c:ser>
          <c:idx val="2"/>
          <c:order val="2"/>
          <c:tx>
            <c:strRef>
              <c:f>PIVOT!$D$54:$D$55</c:f>
              <c:strCache>
                <c:ptCount val="1"/>
                <c:pt idx="0">
                  <c:v>Remote</c:v>
                </c:pt>
              </c:strCache>
            </c:strRef>
          </c:tx>
          <c:spPr>
            <a:solidFill>
              <a:schemeClr val="accent1">
                <a:tint val="6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PIVOT!$A$56:$A$60</c:f>
              <c:strCache>
                <c:ptCount val="4"/>
                <c:pt idx="0">
                  <c:v>Africa</c:v>
                </c:pt>
                <c:pt idx="1">
                  <c:v>Asia</c:v>
                </c:pt>
                <c:pt idx="2">
                  <c:v>Europe</c:v>
                </c:pt>
                <c:pt idx="3">
                  <c:v>North America</c:v>
                </c:pt>
              </c:strCache>
            </c:strRef>
          </c:cat>
          <c:val>
            <c:numRef>
              <c:f>PIVOT!$D$56:$D$60</c:f>
              <c:numCache>
                <c:formatCode>General</c:formatCode>
                <c:ptCount val="4"/>
                <c:pt idx="0">
                  <c:v>1</c:v>
                </c:pt>
                <c:pt idx="1">
                  <c:v>1</c:v>
                </c:pt>
                <c:pt idx="2">
                  <c:v>1</c:v>
                </c:pt>
                <c:pt idx="3">
                  <c:v>2</c:v>
                </c:pt>
              </c:numCache>
            </c:numRef>
          </c:val>
          <c:extLst>
            <c:ext xmlns:c16="http://schemas.microsoft.com/office/drawing/2014/chart" uri="{C3380CC4-5D6E-409C-BE32-E72D297353CC}">
              <c16:uniqueId val="{00000021-8404-4E6C-991C-150783E99981}"/>
            </c:ext>
          </c:extLst>
        </c:ser>
        <c:dLbls>
          <c:dLblPos val="outEnd"/>
          <c:showLegendKey val="0"/>
          <c:showVal val="1"/>
          <c:showCatName val="0"/>
          <c:showSerName val="0"/>
          <c:showPercent val="0"/>
          <c:showBubbleSize val="0"/>
        </c:dLbls>
        <c:gapWidth val="219"/>
        <c:overlap val="-27"/>
        <c:axId val="1459512672"/>
        <c:axId val="1459513152"/>
      </c:barChart>
      <c:catAx>
        <c:axId val="14595126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9513152"/>
        <c:crosses val="autoZero"/>
        <c:auto val="1"/>
        <c:lblAlgn val="ctr"/>
        <c:lblOffset val="100"/>
        <c:noMultiLvlLbl val="0"/>
      </c:catAx>
      <c:valAx>
        <c:axId val="145951315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95126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Reversed" id="24">
  <a:schemeClr val="accent4"/>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4">
  <a:schemeClr val="accent1"/>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19</xdr:row>
      <xdr:rowOff>133349</xdr:rowOff>
    </xdr:from>
    <xdr:to>
      <xdr:col>8</xdr:col>
      <xdr:colOff>228599</xdr:colOff>
      <xdr:row>36</xdr:row>
      <xdr:rowOff>57150</xdr:rowOff>
    </xdr:to>
    <xdr:graphicFrame macro="">
      <xdr:nvGraphicFramePr>
        <xdr:cNvPr id="2" name="Chart 1">
          <a:extLst>
            <a:ext uri="{FF2B5EF4-FFF2-40B4-BE49-F238E27FC236}">
              <a16:creationId xmlns:a16="http://schemas.microsoft.com/office/drawing/2014/main" id="{1252F5CE-BFF7-4B94-93E0-8394E67B5E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600074</xdr:colOff>
      <xdr:row>19</xdr:row>
      <xdr:rowOff>123825</xdr:rowOff>
    </xdr:from>
    <xdr:to>
      <xdr:col>20</xdr:col>
      <xdr:colOff>38099</xdr:colOff>
      <xdr:row>36</xdr:row>
      <xdr:rowOff>47626</xdr:rowOff>
    </xdr:to>
    <xdr:graphicFrame macro="">
      <xdr:nvGraphicFramePr>
        <xdr:cNvPr id="3" name="Chart 2">
          <a:extLst>
            <a:ext uri="{FF2B5EF4-FFF2-40B4-BE49-F238E27FC236}">
              <a16:creationId xmlns:a16="http://schemas.microsoft.com/office/drawing/2014/main" id="{80F6ACAC-5CCA-4774-A80F-B888F21643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0</xdr:colOff>
      <xdr:row>37</xdr:row>
      <xdr:rowOff>28575</xdr:rowOff>
    </xdr:from>
    <xdr:to>
      <xdr:col>20</xdr:col>
      <xdr:colOff>38850</xdr:colOff>
      <xdr:row>54</xdr:row>
      <xdr:rowOff>66075</xdr:rowOff>
    </xdr:to>
    <xdr:graphicFrame macro="">
      <xdr:nvGraphicFramePr>
        <xdr:cNvPr id="4" name="Chart 3">
          <a:extLst>
            <a:ext uri="{FF2B5EF4-FFF2-40B4-BE49-F238E27FC236}">
              <a16:creationId xmlns:a16="http://schemas.microsoft.com/office/drawing/2014/main" id="{0A558788-8458-4EA7-9CD6-3520C76C24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9524</xdr:colOff>
      <xdr:row>37</xdr:row>
      <xdr:rowOff>19049</xdr:rowOff>
    </xdr:from>
    <xdr:to>
      <xdr:col>8</xdr:col>
      <xdr:colOff>229349</xdr:colOff>
      <xdr:row>54</xdr:row>
      <xdr:rowOff>56549</xdr:rowOff>
    </xdr:to>
    <xdr:graphicFrame macro="">
      <xdr:nvGraphicFramePr>
        <xdr:cNvPr id="5" name="Chart 4">
          <a:extLst>
            <a:ext uri="{FF2B5EF4-FFF2-40B4-BE49-F238E27FC236}">
              <a16:creationId xmlns:a16="http://schemas.microsoft.com/office/drawing/2014/main" id="{CF64027D-7EE0-4F5B-9809-AE84525196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9524</xdr:colOff>
      <xdr:row>5</xdr:row>
      <xdr:rowOff>109537</xdr:rowOff>
    </xdr:from>
    <xdr:to>
      <xdr:col>3</xdr:col>
      <xdr:colOff>317324</xdr:colOff>
      <xdr:row>19</xdr:row>
      <xdr:rowOff>33337</xdr:rowOff>
    </xdr:to>
    <mc:AlternateContent xmlns:mc="http://schemas.openxmlformats.org/markup-compatibility/2006">
      <mc:Choice xmlns:a14="http://schemas.microsoft.com/office/drawing/2010/main" Requires="a14">
        <xdr:graphicFrame macro="">
          <xdr:nvGraphicFramePr>
            <xdr:cNvPr id="6" name="Country">
              <a:extLst>
                <a:ext uri="{FF2B5EF4-FFF2-40B4-BE49-F238E27FC236}">
                  <a16:creationId xmlns:a16="http://schemas.microsoft.com/office/drawing/2014/main" id="{4EBA5F59-C543-4D20-92D3-5FBE4DF95B22}"/>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dr:sp macro="" textlink="">
          <xdr:nvSpPr>
            <xdr:cNvPr id="0" name=""/>
            <xdr:cNvSpPr>
              <a:spLocks noTextEdit="1"/>
            </xdr:cNvSpPr>
          </xdr:nvSpPr>
          <xdr:spPr>
            <a:xfrm>
              <a:off x="1333499" y="1900237"/>
              <a:ext cx="1908000" cy="26670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552449</xdr:colOff>
      <xdr:row>5</xdr:row>
      <xdr:rowOff>119062</xdr:rowOff>
    </xdr:from>
    <xdr:to>
      <xdr:col>8</xdr:col>
      <xdr:colOff>22049</xdr:colOff>
      <xdr:row>19</xdr:row>
      <xdr:rowOff>42862</xdr:rowOff>
    </xdr:to>
    <mc:AlternateContent xmlns:mc="http://schemas.openxmlformats.org/markup-compatibility/2006">
      <mc:Choice xmlns:a14="http://schemas.microsoft.com/office/drawing/2010/main" Requires="a14">
        <xdr:graphicFrame macro="">
          <xdr:nvGraphicFramePr>
            <xdr:cNvPr id="7" name="Region">
              <a:extLst>
                <a:ext uri="{FF2B5EF4-FFF2-40B4-BE49-F238E27FC236}">
                  <a16:creationId xmlns:a16="http://schemas.microsoft.com/office/drawing/2014/main" id="{7B207925-22C1-452C-9BE5-5582520EA313}"/>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4086224" y="1909762"/>
              <a:ext cx="1908000" cy="26670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55</xdr:row>
      <xdr:rowOff>38099</xdr:rowOff>
    </xdr:from>
    <xdr:to>
      <xdr:col>8</xdr:col>
      <xdr:colOff>255825</xdr:colOff>
      <xdr:row>74</xdr:row>
      <xdr:rowOff>18599</xdr:rowOff>
    </xdr:to>
    <xdr:graphicFrame macro="">
      <xdr:nvGraphicFramePr>
        <xdr:cNvPr id="8" name="Chart 7">
          <a:extLst>
            <a:ext uri="{FF2B5EF4-FFF2-40B4-BE49-F238E27FC236}">
              <a16:creationId xmlns:a16="http://schemas.microsoft.com/office/drawing/2014/main" id="{0277DA43-5F6D-46F9-9F69-074BA07B0C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609599</xdr:colOff>
      <xdr:row>55</xdr:row>
      <xdr:rowOff>28574</xdr:rowOff>
    </xdr:from>
    <xdr:to>
      <xdr:col>20</xdr:col>
      <xdr:colOff>74849</xdr:colOff>
      <xdr:row>74</xdr:row>
      <xdr:rowOff>9074</xdr:rowOff>
    </xdr:to>
    <xdr:graphicFrame macro="">
      <xdr:nvGraphicFramePr>
        <xdr:cNvPr id="9" name="Chart 8">
          <a:extLst>
            <a:ext uri="{FF2B5EF4-FFF2-40B4-BE49-F238E27FC236}">
              <a16:creationId xmlns:a16="http://schemas.microsoft.com/office/drawing/2014/main" id="{FB7DEEA5-9529-42ED-996C-3B217C2A1E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AH TR L.L.C" refreshedDate="46303.389613078703" createdVersion="8" refreshedVersion="8" minRefreshableVersion="3" recordCount="15" xr:uid="{DEB2065E-DF59-4026-9620-977895311A9B}">
  <cacheSource type="worksheet">
    <worksheetSource name="jobs"/>
  </cacheSource>
  <cacheFields count="9">
    <cacheField name="Job ID" numFmtId="0">
      <sharedItems/>
    </cacheField>
    <cacheField name="Job Title" numFmtId="0">
      <sharedItems count="4">
        <s v="Data Analyst"/>
        <s v="Software Engineer"/>
        <s v="IT Support Specialist"/>
        <s v="Cybersecurity Analyst"/>
      </sharedItems>
    </cacheField>
    <cacheField name="Country" numFmtId="0">
      <sharedItems count="7">
        <s v="Kenya"/>
        <s v="United States"/>
        <s v="Germany"/>
        <s v="United Kingdom"/>
        <s v="India"/>
        <s v="South Africa"/>
        <s v="Canada"/>
      </sharedItems>
    </cacheField>
    <cacheField name="Region" numFmtId="0">
      <sharedItems count="4">
        <s v="Africa"/>
        <s v="North America"/>
        <s v="Europe"/>
        <s v="Asia"/>
      </sharedItems>
    </cacheField>
    <cacheField name="Work Type" numFmtId="0">
      <sharedItems count="3">
        <s v="On-site"/>
        <s v="Remote"/>
        <s v="Hybrid"/>
      </sharedItems>
    </cacheField>
    <cacheField name="Experience" numFmtId="0">
      <sharedItems count="3">
        <s v="Entry"/>
        <s v="Mid"/>
        <s v="Senior"/>
      </sharedItems>
    </cacheField>
    <cacheField name="Salary USD" numFmtId="0">
      <sharedItems containsSemiMixedTypes="0" containsString="0" containsNumber="1" containsInteger="1" minValue="10000" maxValue="105000"/>
    </cacheField>
    <cacheField name="Lookup Region" numFmtId="0">
      <sharedItems/>
    </cacheField>
    <cacheField name="Salary Level" numFmtId="0">
      <sharedItems count="3">
        <s v="Low"/>
        <s v="High"/>
        <s v="Medium"/>
      </sharedItems>
    </cacheField>
  </cacheFields>
  <extLst>
    <ext xmlns:x14="http://schemas.microsoft.com/office/spreadsheetml/2009/9/main" uri="{725AE2AE-9491-48be-B2B4-4EB974FC3084}">
      <x14:pivotCacheDefinition pivotCacheId="194697831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
  <r>
    <s v="J001"/>
    <x v="0"/>
    <x v="0"/>
    <x v="0"/>
    <x v="0"/>
    <x v="0"/>
    <n v="12000"/>
    <s v="Africa"/>
    <x v="0"/>
  </r>
  <r>
    <s v="J002"/>
    <x v="0"/>
    <x v="1"/>
    <x v="1"/>
    <x v="1"/>
    <x v="1"/>
    <n v="85000"/>
    <s v="North America"/>
    <x v="1"/>
  </r>
  <r>
    <s v="J003"/>
    <x v="1"/>
    <x v="2"/>
    <x v="2"/>
    <x v="2"/>
    <x v="1"/>
    <n v="72000"/>
    <s v="Europe"/>
    <x v="1"/>
  </r>
  <r>
    <s v="J004"/>
    <x v="2"/>
    <x v="0"/>
    <x v="0"/>
    <x v="0"/>
    <x v="0"/>
    <n v="10000"/>
    <s v="Africa"/>
    <x v="0"/>
  </r>
  <r>
    <s v="J005"/>
    <x v="0"/>
    <x v="3"/>
    <x v="2"/>
    <x v="2"/>
    <x v="2"/>
    <n v="68000"/>
    <s v="Europe"/>
    <x v="2"/>
  </r>
  <r>
    <s v="J006"/>
    <x v="1"/>
    <x v="4"/>
    <x v="3"/>
    <x v="1"/>
    <x v="1"/>
    <n v="42000"/>
    <s v="Asia"/>
    <x v="2"/>
  </r>
  <r>
    <s v="J007"/>
    <x v="3"/>
    <x v="1"/>
    <x v="1"/>
    <x v="2"/>
    <x v="2"/>
    <n v="105000"/>
    <s v="North America"/>
    <x v="1"/>
  </r>
  <r>
    <s v="J008"/>
    <x v="2"/>
    <x v="2"/>
    <x v="2"/>
    <x v="0"/>
    <x v="0"/>
    <n v="39000"/>
    <s v="Europe"/>
    <x v="2"/>
  </r>
  <r>
    <s v="J009"/>
    <x v="0"/>
    <x v="5"/>
    <x v="0"/>
    <x v="1"/>
    <x v="1"/>
    <n v="30000"/>
    <s v="Africa"/>
    <x v="2"/>
  </r>
  <r>
    <s v="J010"/>
    <x v="1"/>
    <x v="6"/>
    <x v="1"/>
    <x v="2"/>
    <x v="2"/>
    <n v="92000"/>
    <s v="North America"/>
    <x v="1"/>
  </r>
  <r>
    <s v="J011"/>
    <x v="0"/>
    <x v="4"/>
    <x v="3"/>
    <x v="0"/>
    <x v="0"/>
    <n v="18000"/>
    <s v="Asia"/>
    <x v="0"/>
  </r>
  <r>
    <s v="J012"/>
    <x v="3"/>
    <x v="3"/>
    <x v="2"/>
    <x v="1"/>
    <x v="2"/>
    <n v="76000"/>
    <s v="Europe"/>
    <x v="1"/>
  </r>
  <r>
    <s v="J013"/>
    <x v="2"/>
    <x v="4"/>
    <x v="3"/>
    <x v="0"/>
    <x v="0"/>
    <n v="14000"/>
    <s v="Asia"/>
    <x v="0"/>
  </r>
  <r>
    <s v="J014"/>
    <x v="1"/>
    <x v="0"/>
    <x v="0"/>
    <x v="2"/>
    <x v="1"/>
    <n v="28000"/>
    <s v="Africa"/>
    <x v="0"/>
  </r>
  <r>
    <s v="J015"/>
    <x v="0"/>
    <x v="6"/>
    <x v="1"/>
    <x v="1"/>
    <x v="1"/>
    <n v="65000"/>
    <s v="North America"/>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30C82C0-C78B-4933-B769-80F0F6A2FECC}" name="PivotTable15" cacheId="3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94:I101" firstHeaderRow="1" firstDataRow="3" firstDataCol="1"/>
  <pivotFields count="9">
    <pivotField dataField="1" showAll="0"/>
    <pivotField axis="axisRow" showAll="0">
      <items count="5">
        <item x="3"/>
        <item x="0"/>
        <item x="2"/>
        <item x="1"/>
        <item t="default"/>
      </items>
    </pivotField>
    <pivotField showAll="0"/>
    <pivotField showAll="0"/>
    <pivotField axis="axisCol" showAll="0">
      <items count="4">
        <item x="2"/>
        <item x="0"/>
        <item x="1"/>
        <item t="default"/>
      </items>
    </pivotField>
    <pivotField showAll="0"/>
    <pivotField showAll="0"/>
    <pivotField showAll="0"/>
    <pivotField showAll="0"/>
  </pivotFields>
  <rowFields count="1">
    <field x="1"/>
  </rowFields>
  <rowItems count="5">
    <i>
      <x/>
    </i>
    <i>
      <x v="1"/>
    </i>
    <i>
      <x v="2"/>
    </i>
    <i>
      <x v="3"/>
    </i>
    <i t="grand">
      <x/>
    </i>
  </rowItems>
  <colFields count="2">
    <field x="4"/>
    <field x="-2"/>
  </colFields>
  <colItems count="8">
    <i>
      <x/>
      <x/>
    </i>
    <i r="1" i="1">
      <x v="1"/>
    </i>
    <i>
      <x v="1"/>
      <x/>
    </i>
    <i r="1" i="1">
      <x v="1"/>
    </i>
    <i>
      <x v="2"/>
      <x/>
    </i>
    <i r="1" i="1">
      <x v="1"/>
    </i>
    <i t="grand">
      <x/>
    </i>
    <i t="grand" i="1">
      <x/>
    </i>
  </colItems>
  <dataFields count="2">
    <dataField name="Count of Job ID" fld="0" subtotal="count" baseField="0" baseItem="0"/>
    <dataField name="Count of Job ID2" fld="0" subtotal="count" showDataAs="percentOfRow"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E881AC5-8ECD-4A2F-AFFA-322B59B39CA5}" name="PivotTable14" cacheId="3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85:E91" firstHeaderRow="1" firstDataRow="2" firstDataCol="1"/>
  <pivotFields count="9">
    <pivotField showAll="0"/>
    <pivotField axis="axisRow" showAll="0">
      <items count="5">
        <item x="3"/>
        <item x="0"/>
        <item x="2"/>
        <item x="1"/>
        <item t="default"/>
      </items>
    </pivotField>
    <pivotField showAll="0"/>
    <pivotField showAll="0"/>
    <pivotField showAll="0"/>
    <pivotField axis="axisCol" showAll="0">
      <items count="4">
        <item x="0"/>
        <item x="1"/>
        <item x="2"/>
        <item t="default"/>
      </items>
    </pivotField>
    <pivotField dataField="1" showAll="0"/>
    <pivotField showAll="0"/>
    <pivotField showAll="0"/>
  </pivotFields>
  <rowFields count="1">
    <field x="1"/>
  </rowFields>
  <rowItems count="5">
    <i>
      <x/>
    </i>
    <i>
      <x v="1"/>
    </i>
    <i>
      <x v="2"/>
    </i>
    <i>
      <x v="3"/>
    </i>
    <i t="grand">
      <x/>
    </i>
  </rowItems>
  <colFields count="1">
    <field x="5"/>
  </colFields>
  <colItems count="4">
    <i>
      <x/>
    </i>
    <i>
      <x v="1"/>
    </i>
    <i>
      <x v="2"/>
    </i>
    <i t="grand">
      <x/>
    </i>
  </colItems>
  <dataFields count="1">
    <dataField name="Average of Salary USD" fld="6" subtotal="average" baseField="1" baseItem="0" numFmtId="166"/>
  </dataFields>
  <formats count="1">
    <format dxfId="8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4F86534-7326-4C95-8034-30CCE04C3626}" name="PivotTable13" cacheId="3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78:B82" firstHeaderRow="1" firstDataRow="1" firstDataCol="1"/>
  <pivotFields count="9">
    <pivotField showAll="0"/>
    <pivotField showAll="0"/>
    <pivotField showAll="0"/>
    <pivotField showAll="0"/>
    <pivotField axis="axisRow" showAll="0" sortType="descending">
      <items count="4">
        <item x="2"/>
        <item x="0"/>
        <item x="1"/>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s>
  <rowFields count="1">
    <field x="4"/>
  </rowFields>
  <rowItems count="4">
    <i>
      <x/>
    </i>
    <i>
      <x v="2"/>
    </i>
    <i>
      <x v="1"/>
    </i>
    <i t="grand">
      <x/>
    </i>
  </rowItems>
  <colItems count="1">
    <i/>
  </colItems>
  <dataFields count="1">
    <dataField name="Average of Salary USD" fld="6" subtotal="average" baseField="4"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7252925-0759-439C-A2B7-702460B12446}" name="PivotTable12" cacheId="3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71:B75" firstHeaderRow="1" firstDataRow="1" firstDataCol="1"/>
  <pivotFields count="9">
    <pivotField showAll="0"/>
    <pivotField showAll="0"/>
    <pivotField showAll="0"/>
    <pivotField showAll="0"/>
    <pivotField showAll="0"/>
    <pivotField axis="axisRow" showAll="0" sortType="descending">
      <items count="4">
        <item x="0"/>
        <item x="1"/>
        <item x="2"/>
        <item t="default"/>
      </items>
      <autoSortScope>
        <pivotArea dataOnly="0" outline="0" fieldPosition="0">
          <references count="1">
            <reference field="4294967294" count="1" selected="0">
              <x v="0"/>
            </reference>
          </references>
        </pivotArea>
      </autoSortScope>
    </pivotField>
    <pivotField dataField="1" showAll="0"/>
    <pivotField showAll="0"/>
    <pivotField showAll="0"/>
  </pivotFields>
  <rowFields count="1">
    <field x="5"/>
  </rowFields>
  <rowItems count="4">
    <i>
      <x v="2"/>
    </i>
    <i>
      <x v="1"/>
    </i>
    <i>
      <x/>
    </i>
    <i t="grand">
      <x/>
    </i>
  </rowItems>
  <colItems count="1">
    <i/>
  </colItems>
  <dataFields count="1">
    <dataField name="Average of Salary USD" fld="6" subtotal="average" baseField="5" baseItem="0" numFmtId="166"/>
  </dataFields>
  <formats count="1">
    <format dxfId="8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0FA2C93-2CEE-416A-8277-CFE98D3FF554}" name="PivotTable11" cacheId="3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63:B68" firstHeaderRow="1" firstDataRow="1" firstDataCol="1"/>
  <pivotFields count="9">
    <pivotField showAll="0"/>
    <pivotField axis="axisRow" showAll="0" sortType="descending">
      <items count="5">
        <item x="3"/>
        <item x="0"/>
        <item x="2"/>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dataField="1" showAll="0"/>
    <pivotField showAll="0"/>
    <pivotField showAll="0"/>
  </pivotFields>
  <rowFields count="1">
    <field x="1"/>
  </rowFields>
  <rowItems count="5">
    <i>
      <x/>
    </i>
    <i>
      <x v="3"/>
    </i>
    <i>
      <x v="1"/>
    </i>
    <i>
      <x v="2"/>
    </i>
    <i t="grand">
      <x/>
    </i>
  </rowItems>
  <colItems count="1">
    <i/>
  </colItems>
  <dataFields count="1">
    <dataField name="Average of Salary USD" fld="6" subtotal="average" baseField="1" baseItem="0" numFmtId="166"/>
  </dataFields>
  <formats count="1">
    <format dxfId="8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0E238F7-5A2D-4FDD-8F9D-008EB14D1730}" name="PivotTable5" cacheId="3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54:E60" firstHeaderRow="1" firstDataRow="2" firstDataCol="1"/>
  <pivotFields count="9">
    <pivotField dataField="1" showAll="0"/>
    <pivotField showAll="0"/>
    <pivotField showAll="0">
      <items count="8">
        <item x="6"/>
        <item x="2"/>
        <item x="4"/>
        <item x="0"/>
        <item x="5"/>
        <item x="3"/>
        <item x="1"/>
        <item t="default"/>
      </items>
    </pivotField>
    <pivotField axis="axisRow" showAll="0">
      <items count="5">
        <item x="0"/>
        <item x="3"/>
        <item x="2"/>
        <item x="1"/>
        <item t="default"/>
      </items>
    </pivotField>
    <pivotField axis="axisCol" showAll="0">
      <items count="4">
        <item x="2"/>
        <item x="0"/>
        <item x="1"/>
        <item t="default"/>
      </items>
    </pivotField>
    <pivotField showAll="0"/>
    <pivotField showAll="0"/>
    <pivotField showAll="0"/>
    <pivotField showAll="0"/>
  </pivotFields>
  <rowFields count="1">
    <field x="3"/>
  </rowFields>
  <rowItems count="5">
    <i>
      <x/>
    </i>
    <i>
      <x v="1"/>
    </i>
    <i>
      <x v="2"/>
    </i>
    <i>
      <x v="3"/>
    </i>
    <i t="grand">
      <x/>
    </i>
  </rowItems>
  <colFields count="1">
    <field x="4"/>
  </colFields>
  <colItems count="4">
    <i>
      <x/>
    </i>
    <i>
      <x v="1"/>
    </i>
    <i>
      <x v="2"/>
    </i>
    <i t="grand">
      <x/>
    </i>
  </colItems>
  <dataFields count="1">
    <dataField name="Count of Job ID" fld="0" subtotal="count" baseField="0" baseItem="0"/>
  </dataFields>
  <chartFormats count="4">
    <chartFormat chart="2" format="6" series="1">
      <pivotArea type="data" outline="0" fieldPosition="0">
        <references count="2">
          <reference field="4294967294" count="1" selected="0">
            <x v="0"/>
          </reference>
          <reference field="4" count="1" selected="0">
            <x v="0"/>
          </reference>
        </references>
      </pivotArea>
    </chartFormat>
    <chartFormat chart="2" format="7" series="1">
      <pivotArea type="data" outline="0" fieldPosition="0">
        <references count="2">
          <reference field="4294967294" count="1" selected="0">
            <x v="0"/>
          </reference>
          <reference field="4" count="1" selected="0">
            <x v="1"/>
          </reference>
        </references>
      </pivotArea>
    </chartFormat>
    <chartFormat chart="2" format="8" series="1">
      <pivotArea type="data" outline="0" fieldPosition="0">
        <references count="2">
          <reference field="4294967294" count="1" selected="0">
            <x v="0"/>
          </reference>
          <reference field="4" count="1" selected="0">
            <x v="2"/>
          </reference>
        </references>
      </pivotArea>
    </chartFormat>
    <chartFormat chart="2" format="9"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2EEB197-9513-4FB3-A4F3-76937311B188}" name="PivotTable3" cacheId="3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9:E25" firstHeaderRow="1" firstDataRow="2" firstDataCol="1"/>
  <pivotFields count="9">
    <pivotField dataField="1" showAll="0"/>
    <pivotField showAll="0"/>
    <pivotField showAll="0">
      <items count="8">
        <item x="6"/>
        <item x="2"/>
        <item x="4"/>
        <item x="0"/>
        <item x="5"/>
        <item x="3"/>
        <item x="1"/>
        <item t="default"/>
      </items>
    </pivotField>
    <pivotField axis="axisRow" showAll="0">
      <items count="5">
        <item x="0"/>
        <item x="3"/>
        <item x="2"/>
        <item x="1"/>
        <item t="default"/>
      </items>
    </pivotField>
    <pivotField showAll="0"/>
    <pivotField showAll="0"/>
    <pivotField showAll="0"/>
    <pivotField showAll="0"/>
    <pivotField axis="axisCol" showAll="0">
      <items count="4">
        <item x="1"/>
        <item x="0"/>
        <item x="2"/>
        <item t="default"/>
      </items>
    </pivotField>
  </pivotFields>
  <rowFields count="1">
    <field x="3"/>
  </rowFields>
  <rowItems count="5">
    <i>
      <x/>
    </i>
    <i>
      <x v="1"/>
    </i>
    <i>
      <x v="2"/>
    </i>
    <i>
      <x v="3"/>
    </i>
    <i t="grand">
      <x/>
    </i>
  </rowItems>
  <colFields count="1">
    <field x="8"/>
  </colFields>
  <colItems count="4">
    <i>
      <x/>
    </i>
    <i>
      <x v="1"/>
    </i>
    <i>
      <x v="2"/>
    </i>
    <i t="grand">
      <x/>
    </i>
  </colItems>
  <dataFields count="1">
    <dataField name="Count of Job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B2B90A0-6E5C-4286-9C96-772C311E8CCB}" name="PivotTable2" cacheId="3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11:B16" firstHeaderRow="1" firstDataRow="1" firstDataCol="1"/>
  <pivotFields count="9">
    <pivotField dataField="1" showAll="0"/>
    <pivotField axis="axisRow" showAll="0" sortType="descending">
      <items count="5">
        <item x="3"/>
        <item x="0"/>
        <item x="2"/>
        <item x="1"/>
        <item t="default"/>
      </items>
      <autoSortScope>
        <pivotArea dataOnly="0" outline="0" fieldPosition="0">
          <references count="1">
            <reference field="4294967294" count="1" selected="0">
              <x v="0"/>
            </reference>
          </references>
        </pivotArea>
      </autoSortScope>
    </pivotField>
    <pivotField showAll="0">
      <items count="8">
        <item x="6"/>
        <item x="2"/>
        <item x="4"/>
        <item x="0"/>
        <item x="5"/>
        <item x="3"/>
        <item x="1"/>
        <item t="default"/>
      </items>
    </pivotField>
    <pivotField showAll="0">
      <items count="5">
        <item x="0"/>
        <item x="3"/>
        <item x="2"/>
        <item x="1"/>
        <item t="default"/>
      </items>
    </pivotField>
    <pivotField showAll="0"/>
    <pivotField showAll="0"/>
    <pivotField showAll="0"/>
    <pivotField showAll="0"/>
    <pivotField showAll="0"/>
  </pivotFields>
  <rowFields count="1">
    <field x="1"/>
  </rowFields>
  <rowItems count="5">
    <i>
      <x v="1"/>
    </i>
    <i>
      <x v="3"/>
    </i>
    <i>
      <x v="2"/>
    </i>
    <i>
      <x/>
    </i>
    <i t="grand">
      <x/>
    </i>
  </rowItems>
  <colItems count="1">
    <i/>
  </colItems>
  <dataFields count="1">
    <dataField name="Count of Job ID" fld="0" subtotal="count"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594A1BE-6839-4A26-8E59-14D59F2252D9}" name="PivotTable1" cacheId="3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B8" firstHeaderRow="1" firstDataRow="1" firstDataCol="1"/>
  <pivotFields count="9">
    <pivotField showAll="0"/>
    <pivotField showAll="0"/>
    <pivotField showAll="0">
      <items count="8">
        <item x="6"/>
        <item x="2"/>
        <item x="4"/>
        <item x="0"/>
        <item x="5"/>
        <item x="3"/>
        <item x="1"/>
        <item t="default"/>
      </items>
    </pivotField>
    <pivotField axis="axisRow" showAll="0">
      <items count="5">
        <item x="0"/>
        <item x="3"/>
        <item x="2"/>
        <item x="1"/>
        <item t="default"/>
      </items>
    </pivotField>
    <pivotField showAll="0"/>
    <pivotField showAll="0"/>
    <pivotField dataField="1" showAll="0"/>
    <pivotField showAll="0"/>
    <pivotField showAll="0"/>
  </pivotFields>
  <rowFields count="1">
    <field x="3"/>
  </rowFields>
  <rowItems count="5">
    <i>
      <x/>
    </i>
    <i>
      <x v="1"/>
    </i>
    <i>
      <x v="2"/>
    </i>
    <i>
      <x v="3"/>
    </i>
    <i t="grand">
      <x/>
    </i>
  </rowItems>
  <colItems count="1">
    <i/>
  </colItems>
  <dataFields count="1">
    <dataField name="Average of Salary USD" fld="6" subtotal="average" baseField="3" baseItem="0" numFmtId="164"/>
  </dataFields>
  <formats count="1">
    <format dxfId="83">
      <pivotArea outline="0" collapsedLevelsAreSubtotals="1" fieldPosition="0"/>
    </format>
  </formats>
  <chartFormats count="2">
    <chartFormat chart="2" format="6"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1F7DA172-348D-4B95-89C7-97926BF41EF3}" name="PivotTable7" cacheId="3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43:B51" firstHeaderRow="1" firstDataRow="1" firstDataCol="1"/>
  <pivotFields count="9">
    <pivotField showAll="0"/>
    <pivotField showAll="0"/>
    <pivotField axis="axisRow" showAll="0" sortType="descending">
      <items count="8">
        <item x="6"/>
        <item x="2"/>
        <item x="4"/>
        <item x="0"/>
        <item x="5"/>
        <item x="3"/>
        <item x="1"/>
        <item t="default"/>
      </items>
      <autoSortScope>
        <pivotArea dataOnly="0" outline="0" fieldPosition="0">
          <references count="1">
            <reference field="4294967294" count="1" selected="0">
              <x v="0"/>
            </reference>
          </references>
        </pivotArea>
      </autoSortScope>
    </pivotField>
    <pivotField showAll="0">
      <items count="5">
        <item x="0"/>
        <item x="3"/>
        <item x="2"/>
        <item x="1"/>
        <item t="default"/>
      </items>
    </pivotField>
    <pivotField showAll="0"/>
    <pivotField showAll="0"/>
    <pivotField dataField="1" showAll="0"/>
    <pivotField showAll="0"/>
    <pivotField showAll="0"/>
  </pivotFields>
  <rowFields count="1">
    <field x="2"/>
  </rowFields>
  <rowItems count="8">
    <i>
      <x v="6"/>
    </i>
    <i>
      <x/>
    </i>
    <i>
      <x v="5"/>
    </i>
    <i>
      <x v="1"/>
    </i>
    <i>
      <x v="4"/>
    </i>
    <i>
      <x v="2"/>
    </i>
    <i>
      <x v="3"/>
    </i>
    <i t="grand">
      <x/>
    </i>
  </rowItems>
  <colItems count="1">
    <i/>
  </colItems>
  <dataFields count="1">
    <dataField name="Average of Salary USD" fld="6" subtotal="average" baseField="2" baseItem="0" numFmtId="166"/>
  </dataFields>
  <formats count="1">
    <format dxfId="82">
      <pivotArea outline="0" collapsedLevelsAreSubtotals="1" fieldPosition="0"/>
    </format>
  </formats>
  <chartFormats count="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6B961915-F0CA-44EC-89AD-C6249DFFFF33}" name="PivotTable6" cacheId="3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5:B40" firstHeaderRow="1" firstDataRow="1" firstDataCol="1"/>
  <pivotFields count="9">
    <pivotField dataField="1" showAll="0"/>
    <pivotField showAll="0"/>
    <pivotField showAll="0">
      <items count="8">
        <item x="6"/>
        <item x="2"/>
        <item x="4"/>
        <item x="0"/>
        <item x="5"/>
        <item x="3"/>
        <item x="1"/>
        <item t="default"/>
      </items>
    </pivotField>
    <pivotField axis="axisRow" showAll="0">
      <items count="5">
        <item x="0"/>
        <item x="3"/>
        <item x="2"/>
        <item x="1"/>
        <item t="default"/>
      </items>
    </pivotField>
    <pivotField showAll="0"/>
    <pivotField showAll="0"/>
    <pivotField showAll="0"/>
    <pivotField showAll="0"/>
    <pivotField showAll="0"/>
  </pivotFields>
  <rowFields count="1">
    <field x="3"/>
  </rowFields>
  <rowItems count="5">
    <i>
      <x/>
    </i>
    <i>
      <x v="1"/>
    </i>
    <i>
      <x v="2"/>
    </i>
    <i>
      <x v="3"/>
    </i>
    <i t="grand">
      <x/>
    </i>
  </rowItems>
  <colItems count="1">
    <i/>
  </colItems>
  <dataFields count="1">
    <dataField name="Count of Job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068C5501-8C3B-4944-9764-0112B5717B75}" name="PivotTable4" cacheId="3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28:B32" firstHeaderRow="1" firstDataRow="1" firstDataCol="1"/>
  <pivotFields count="9">
    <pivotField dataField="1" showAll="0"/>
    <pivotField showAll="0"/>
    <pivotField showAll="0">
      <items count="8">
        <item x="6"/>
        <item x="2"/>
        <item x="4"/>
        <item x="0"/>
        <item x="5"/>
        <item x="3"/>
        <item x="1"/>
        <item t="default"/>
      </items>
    </pivotField>
    <pivotField showAll="0">
      <items count="5">
        <item x="0"/>
        <item x="3"/>
        <item x="2"/>
        <item x="1"/>
        <item t="default"/>
      </items>
    </pivotField>
    <pivotField axis="axisRow" showAll="0">
      <items count="4">
        <item x="2"/>
        <item x="0"/>
        <item x="1"/>
        <item t="default"/>
      </items>
    </pivotField>
    <pivotField showAll="0"/>
    <pivotField showAll="0"/>
    <pivotField showAll="0"/>
    <pivotField showAll="0"/>
  </pivotFields>
  <rowFields count="1">
    <field x="4"/>
  </rowFields>
  <rowItems count="4">
    <i>
      <x/>
    </i>
    <i>
      <x v="1"/>
    </i>
    <i>
      <x v="2"/>
    </i>
    <i t="grand">
      <x/>
    </i>
  </rowItems>
  <colItems count="1">
    <i/>
  </colItems>
  <dataFields count="1">
    <dataField name="Count of Job ID" fld="0" subtotal="count" baseField="0" baseItem="0"/>
  </dataFields>
  <chartFormats count="5">
    <chartFormat chart="0" format="0"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0"/>
          </reference>
        </references>
      </pivotArea>
    </chartFormat>
    <chartFormat chart="2" format="6">
      <pivotArea type="data" outline="0" fieldPosition="0">
        <references count="2">
          <reference field="4294967294" count="1" selected="0">
            <x v="0"/>
          </reference>
          <reference field="4" count="1" selected="0">
            <x v="0"/>
          </reference>
        </references>
      </pivotArea>
    </chartFormat>
    <chartFormat chart="2" format="7">
      <pivotArea type="data" outline="0" fieldPosition="0">
        <references count="2">
          <reference field="4294967294" count="1" selected="0">
            <x v="0"/>
          </reference>
          <reference field="4" count="1" selected="0">
            <x v="1"/>
          </reference>
        </references>
      </pivotArea>
    </chartFormat>
    <chartFormat chart="2" format="8">
      <pivotArea type="data" outline="0" fieldPosition="0">
        <references count="2">
          <reference field="4294967294" count="1" selected="0">
            <x v="0"/>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FD967CBF-AB00-4446-BE1F-1290E3949D5B}" name="PivotTable8" cacheId="3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70:A71" firstHeaderRow="1" firstDataRow="1" firstDataCol="0" rowPageCount="1" colPageCount="1"/>
  <pivotFields count="9">
    <pivotField dataField="1" showAll="0"/>
    <pivotField showAll="0"/>
    <pivotField showAll="0">
      <items count="8">
        <item x="6"/>
        <item x="2"/>
        <item x="4"/>
        <item x="0"/>
        <item x="5"/>
        <item x="3"/>
        <item x="1"/>
        <item t="default"/>
      </items>
    </pivotField>
    <pivotField showAll="0">
      <items count="5">
        <item x="0"/>
        <item x="3"/>
        <item x="2"/>
        <item x="1"/>
        <item t="default"/>
      </items>
    </pivotField>
    <pivotField axis="axisPage" showAll="0">
      <items count="4">
        <item x="2"/>
        <item x="0"/>
        <item x="1"/>
        <item t="default"/>
      </items>
    </pivotField>
    <pivotField showAll="0"/>
    <pivotField showAll="0"/>
    <pivotField showAll="0"/>
    <pivotField showAll="0"/>
  </pivotFields>
  <rowItems count="1">
    <i/>
  </rowItems>
  <colItems count="1">
    <i/>
  </colItems>
  <pageFields count="1">
    <pageField fld="4" item="2" hier="-1"/>
  </pageFields>
  <dataFields count="1">
    <dataField name="Count of Job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67DD57FB-9640-43B5-A410-1F0F0EA589C7}" name="PivotTable9" cacheId="3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75:B80" firstHeaderRow="1" firstDataRow="1" firstDataCol="1"/>
  <pivotFields count="9">
    <pivotField dataField="1" showAll="0"/>
    <pivotField axis="axisRow" showAll="0" sortType="descending">
      <items count="5">
        <item x="3"/>
        <item x="0"/>
        <item x="2"/>
        <item x="1"/>
        <item t="default"/>
      </items>
      <autoSortScope>
        <pivotArea dataOnly="0" outline="0" fieldPosition="0">
          <references count="1">
            <reference field="4294967294" count="1" selected="0">
              <x v="0"/>
            </reference>
          </references>
        </pivotArea>
      </autoSortScope>
    </pivotField>
    <pivotField showAll="0">
      <items count="8">
        <item x="6"/>
        <item x="2"/>
        <item x="4"/>
        <item x="0"/>
        <item x="5"/>
        <item x="3"/>
        <item x="1"/>
        <item t="default"/>
      </items>
    </pivotField>
    <pivotField showAll="0">
      <items count="5">
        <item x="0"/>
        <item x="3"/>
        <item x="2"/>
        <item x="1"/>
        <item t="default"/>
      </items>
    </pivotField>
    <pivotField showAll="0"/>
    <pivotField showAll="0"/>
    <pivotField showAll="0"/>
    <pivotField showAll="0"/>
    <pivotField showAll="0"/>
  </pivotFields>
  <rowFields count="1">
    <field x="1"/>
  </rowFields>
  <rowItems count="5">
    <i>
      <x v="1"/>
    </i>
    <i>
      <x v="3"/>
    </i>
    <i>
      <x v="2"/>
    </i>
    <i>
      <x/>
    </i>
    <i t="grand">
      <x/>
    </i>
  </rowItems>
  <colItems count="1">
    <i/>
  </colItems>
  <dataFields count="1">
    <dataField name="Count of Job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F838800D-CD02-4BBC-BB90-07F2CCC3F416}" name="PivotTable7" cacheId="3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65:A66" firstHeaderRow="1" firstDataRow="1" firstDataCol="0"/>
  <pivotFields count="9">
    <pivotField showAll="0"/>
    <pivotField showAll="0"/>
    <pivotField showAll="0">
      <items count="8">
        <item x="6"/>
        <item x="2"/>
        <item x="4"/>
        <item x="0"/>
        <item x="5"/>
        <item x="3"/>
        <item x="1"/>
        <item t="default"/>
      </items>
    </pivotField>
    <pivotField showAll="0">
      <items count="5">
        <item x="0"/>
        <item x="3"/>
        <item x="2"/>
        <item x="1"/>
        <item t="default"/>
      </items>
    </pivotField>
    <pivotField showAll="0"/>
    <pivotField showAll="0"/>
    <pivotField dataField="1" showAll="0"/>
    <pivotField showAll="0"/>
    <pivotField showAll="0"/>
  </pivotFields>
  <rowItems count="1">
    <i/>
  </rowItems>
  <colItems count="1">
    <i/>
  </colItems>
  <dataFields count="1">
    <dataField name="Average of Salary USD" fld="6" subtotal="average" baseField="0" baseItem="0" numFmtId="166"/>
  </dataFields>
  <formats count="1">
    <format dxfId="7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37B44487-678A-420D-A8DD-07EA7700E3AA}" name="PivotTable6" cacheId="3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60:A61" firstHeaderRow="1" firstDataRow="1" firstDataCol="0"/>
  <pivotFields count="9">
    <pivotField dataField="1" showAll="0"/>
    <pivotField showAll="0"/>
    <pivotField showAll="0">
      <items count="8">
        <item x="6"/>
        <item x="2"/>
        <item x="4"/>
        <item x="0"/>
        <item x="5"/>
        <item x="3"/>
        <item x="1"/>
        <item t="default"/>
      </items>
    </pivotField>
    <pivotField showAll="0">
      <items count="5">
        <item x="0"/>
        <item x="3"/>
        <item x="2"/>
        <item x="1"/>
        <item t="default"/>
      </items>
    </pivotField>
    <pivotField showAll="0"/>
    <pivotField showAll="0"/>
    <pivotField showAll="0"/>
    <pivotField showAll="0"/>
    <pivotField showAll="0"/>
  </pivotFields>
  <rowItems count="1">
    <i/>
  </rowItems>
  <colItems count="1">
    <i/>
  </colItems>
  <dataFields count="1">
    <dataField name="Count of Job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9401009B-2905-4418-B7AE-E82097931E7E}" sourceName="Country">
  <pivotTables>
    <pivotTable tabId="2" name="PivotTable6"/>
    <pivotTable tabId="2" name="PivotTable1"/>
    <pivotTable tabId="2" name="PivotTable2"/>
    <pivotTable tabId="2" name="PivotTable3"/>
    <pivotTable tabId="2" name="PivotTable4"/>
    <pivotTable tabId="2" name="PivotTable5"/>
    <pivotTable tabId="2" name="PivotTable7"/>
    <pivotTable tabId="5" name="PivotTable6"/>
    <pivotTable tabId="5" name="PivotTable7"/>
    <pivotTable tabId="5" name="PivotTable8"/>
    <pivotTable tabId="5" name="PivotTable9"/>
  </pivotTables>
  <data>
    <tabular pivotCacheId="1946978318">
      <items count="7">
        <i x="6" s="1"/>
        <i x="2" s="1"/>
        <i x="4" s="1"/>
        <i x="0" s="1"/>
        <i x="5" s="1"/>
        <i x="3"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C453A902-9E6F-47C0-8564-728316433F8A}" sourceName="Region">
  <pivotTables>
    <pivotTable tabId="2" name="PivotTable1"/>
    <pivotTable tabId="2" name="PivotTable2"/>
    <pivotTable tabId="2" name="PivotTable3"/>
    <pivotTable tabId="2" name="PivotTable4"/>
    <pivotTable tabId="2" name="PivotTable6"/>
    <pivotTable tabId="2" name="PivotTable5"/>
    <pivotTable tabId="2" name="PivotTable7"/>
    <pivotTable tabId="5" name="PivotTable6"/>
    <pivotTable tabId="5" name="PivotTable7"/>
    <pivotTable tabId="5" name="PivotTable8"/>
    <pivotTable tabId="5" name="PivotTable9"/>
  </pivotTables>
  <data>
    <tabular pivotCacheId="1946978318">
      <items count="4">
        <i x="0" s="1"/>
        <i x="3"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5F03A830-09E6-4A5A-BCB7-058E8ABDD232}" cache="Slicer_Country" caption="Country" rowHeight="257175"/>
  <slicer name="Region" xr10:uid="{3D526FC1-21E2-4E35-9C6F-400FAB5081BA}" cache="Slicer_Region" caption="Region"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20B247C-0857-49D9-A7E7-7476E3D85617}" name="jobs" displayName="jobs" ref="A1:I16" totalsRowShown="0">
  <autoFilter ref="A1:I16" xr:uid="{F20B247C-0857-49D9-A7E7-7476E3D85617}"/>
  <tableColumns count="9">
    <tableColumn id="1" xr3:uid="{773AD282-2DEE-4546-A21A-AC7CF2A1DCD7}" name="Job ID"/>
    <tableColumn id="2" xr3:uid="{87B3DEBC-9C14-454C-96F0-0F252BAB1686}" name="Job Title"/>
    <tableColumn id="3" xr3:uid="{08A5EF28-10B6-485B-97AE-817CF7AEF107}" name="Country"/>
    <tableColumn id="4" xr3:uid="{540DC7D7-8171-4C99-B403-EC2374596F20}" name="Region"/>
    <tableColumn id="5" xr3:uid="{378B9D3F-C285-4900-B095-79EAD5C11E98}" name="Work Type"/>
    <tableColumn id="6" xr3:uid="{30C362AD-B1F5-4272-8FAF-F369F1C469DF}" name="Experience"/>
    <tableColumn id="7" xr3:uid="{E3284A5C-F96E-458C-AC44-EAA9612EA591}" name="Salary USD"/>
    <tableColumn id="8" xr3:uid="{4A84D6FA-8D64-4CB4-A6C6-7F987594F2C9}" name="Lookup Region" dataDxfId="94">
      <calculatedColumnFormula>_xlfn.XLOOKUP(jobs[[#This Row],[Country]],LOOKUP!$A$2:$A$8,LOOKUP!$B$2:$B$8,"Not Found")</calculatedColumnFormula>
    </tableColumn>
    <tableColumn id="9" xr3:uid="{C6728A7D-F244-4893-B6B7-19B450D940B6}" name="Salary Level" dataDxfId="93">
      <calculatedColumnFormula>IF(jobs[[#This Row],[Salary USD]]&gt;=70000,"High",IF(jobs[[#This Row],[Salary USD]]&gt;=30000,"Medium","Low"))</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15.xml"/><Relationship Id="rId2" Type="http://schemas.openxmlformats.org/officeDocument/2006/relationships/pivotTable" Target="../pivotTables/pivotTable14.xml"/><Relationship Id="rId1" Type="http://schemas.openxmlformats.org/officeDocument/2006/relationships/pivotTable" Target="../pivotTables/pivotTable13.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ivotTable" Target="../pivotTables/pivotTable1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A363F6-28CE-4B4C-A774-76CF1C31EA40}">
  <dimension ref="A1:I16"/>
  <sheetViews>
    <sheetView workbookViewId="0">
      <selection activeCell="C7" sqref="C7"/>
    </sheetView>
  </sheetViews>
  <sheetFormatPr defaultRowHeight="15" x14ac:dyDescent="0.25"/>
  <cols>
    <col min="2" max="2" width="19.85546875" bestFit="1" customWidth="1"/>
    <col min="3" max="3" width="15.140625" bestFit="1" customWidth="1"/>
    <col min="4" max="4" width="13.85546875" bestFit="1" customWidth="1"/>
    <col min="5" max="5" width="12.5703125" customWidth="1"/>
    <col min="6" max="6" width="13.28515625" customWidth="1"/>
    <col min="7" max="7" width="12.85546875" customWidth="1"/>
    <col min="8" max="8" width="16.7109375" bestFit="1" customWidth="1"/>
    <col min="9" max="9" width="14" bestFit="1" customWidth="1"/>
  </cols>
  <sheetData>
    <row r="1" spans="1:9" x14ac:dyDescent="0.25">
      <c r="A1" t="s">
        <v>0</v>
      </c>
      <c r="B1" t="s">
        <v>1</v>
      </c>
      <c r="C1" t="s">
        <v>2</v>
      </c>
      <c r="D1" t="s">
        <v>3</v>
      </c>
      <c r="E1" t="s">
        <v>4</v>
      </c>
      <c r="F1" t="s">
        <v>5</v>
      </c>
      <c r="G1" t="s">
        <v>6</v>
      </c>
      <c r="H1" t="s">
        <v>47</v>
      </c>
      <c r="I1" t="s">
        <v>48</v>
      </c>
    </row>
    <row r="2" spans="1:9" x14ac:dyDescent="0.25">
      <c r="A2" t="s">
        <v>7</v>
      </c>
      <c r="B2" t="s">
        <v>22</v>
      </c>
      <c r="C2" t="s">
        <v>26</v>
      </c>
      <c r="D2" t="s">
        <v>33</v>
      </c>
      <c r="E2" t="s">
        <v>37</v>
      </c>
      <c r="F2" t="s">
        <v>40</v>
      </c>
      <c r="G2">
        <v>12000</v>
      </c>
      <c r="H2" t="str">
        <f>_xlfn.XLOOKUP(jobs[[#This Row],[Country]],LOOKUP!$A$2:$A$8,LOOKUP!$B$2:$B$8,"Not Found")</f>
        <v>Africa</v>
      </c>
      <c r="I2" t="str">
        <f>IF(jobs[[#This Row],[Salary USD]]&gt;=70000,"High",IF(jobs[[#This Row],[Salary USD]]&gt;=30000,"Medium","Low"))</f>
        <v>Low</v>
      </c>
    </row>
    <row r="3" spans="1:9" x14ac:dyDescent="0.25">
      <c r="A3" t="s">
        <v>8</v>
      </c>
      <c r="B3" t="s">
        <v>22</v>
      </c>
      <c r="C3" t="s">
        <v>27</v>
      </c>
      <c r="D3" t="s">
        <v>34</v>
      </c>
      <c r="E3" t="s">
        <v>38</v>
      </c>
      <c r="F3" t="s">
        <v>41</v>
      </c>
      <c r="G3">
        <v>85000</v>
      </c>
      <c r="H3" t="str">
        <f>_xlfn.XLOOKUP(jobs[[#This Row],[Country]],LOOKUP!$A$2:$A$8,LOOKUP!$B$2:$B$8,"Not Found")</f>
        <v>North America</v>
      </c>
      <c r="I3" t="str">
        <f>IF(jobs[[#This Row],[Salary USD]]&gt;=70000,"High",IF(jobs[[#This Row],[Salary USD]]&gt;=30000,"Medium","Low"))</f>
        <v>High</v>
      </c>
    </row>
    <row r="4" spans="1:9" x14ac:dyDescent="0.25">
      <c r="A4" t="s">
        <v>9</v>
      </c>
      <c r="B4" t="s">
        <v>23</v>
      </c>
      <c r="C4" t="s">
        <v>28</v>
      </c>
      <c r="D4" t="s">
        <v>35</v>
      </c>
      <c r="E4" t="s">
        <v>39</v>
      </c>
      <c r="F4" t="s">
        <v>41</v>
      </c>
      <c r="G4">
        <v>72000</v>
      </c>
      <c r="H4" t="str">
        <f>_xlfn.XLOOKUP(jobs[[#This Row],[Country]],LOOKUP!$A$2:$A$8,LOOKUP!$B$2:$B$8,"Not Found")</f>
        <v>Europe</v>
      </c>
      <c r="I4" t="str">
        <f>IF(jobs[[#This Row],[Salary USD]]&gt;=70000,"High",IF(jobs[[#This Row],[Salary USD]]&gt;=30000,"Medium","Low"))</f>
        <v>High</v>
      </c>
    </row>
    <row r="5" spans="1:9" x14ac:dyDescent="0.25">
      <c r="A5" t="s">
        <v>10</v>
      </c>
      <c r="B5" t="s">
        <v>24</v>
      </c>
      <c r="C5" t="s">
        <v>26</v>
      </c>
      <c r="D5" t="s">
        <v>33</v>
      </c>
      <c r="E5" t="s">
        <v>37</v>
      </c>
      <c r="F5" t="s">
        <v>40</v>
      </c>
      <c r="G5">
        <v>10000</v>
      </c>
      <c r="H5" t="str">
        <f>_xlfn.XLOOKUP(jobs[[#This Row],[Country]],LOOKUP!$A$2:$A$8,LOOKUP!$B$2:$B$8,"Not Found")</f>
        <v>Africa</v>
      </c>
      <c r="I5" t="str">
        <f>IF(jobs[[#This Row],[Salary USD]]&gt;=70000,"High",IF(jobs[[#This Row],[Salary USD]]&gt;=30000,"Medium","Low"))</f>
        <v>Low</v>
      </c>
    </row>
    <row r="6" spans="1:9" x14ac:dyDescent="0.25">
      <c r="A6" t="s">
        <v>11</v>
      </c>
      <c r="B6" t="s">
        <v>22</v>
      </c>
      <c r="C6" t="s">
        <v>29</v>
      </c>
      <c r="D6" t="s">
        <v>35</v>
      </c>
      <c r="E6" t="s">
        <v>39</v>
      </c>
      <c r="F6" t="s">
        <v>42</v>
      </c>
      <c r="G6">
        <v>68000</v>
      </c>
      <c r="H6" t="str">
        <f>_xlfn.XLOOKUP(jobs[[#This Row],[Country]],LOOKUP!$A$2:$A$8,LOOKUP!$B$2:$B$8,"Not Found")</f>
        <v>Europe</v>
      </c>
      <c r="I6" t="str">
        <f>IF(jobs[[#This Row],[Salary USD]]&gt;=70000,"High",IF(jobs[[#This Row],[Salary USD]]&gt;=30000,"Medium","Low"))</f>
        <v>Medium</v>
      </c>
    </row>
    <row r="7" spans="1:9" x14ac:dyDescent="0.25">
      <c r="A7" t="s">
        <v>12</v>
      </c>
      <c r="B7" t="s">
        <v>23</v>
      </c>
      <c r="C7" t="s">
        <v>30</v>
      </c>
      <c r="D7" t="s">
        <v>36</v>
      </c>
      <c r="E7" t="s">
        <v>38</v>
      </c>
      <c r="F7" t="s">
        <v>41</v>
      </c>
      <c r="G7">
        <v>42000</v>
      </c>
      <c r="H7" t="str">
        <f>_xlfn.XLOOKUP(jobs[[#This Row],[Country]],LOOKUP!$A$2:$A$8,LOOKUP!$B$2:$B$8,"Not Found")</f>
        <v>Asia</v>
      </c>
      <c r="I7" t="str">
        <f>IF(jobs[[#This Row],[Salary USD]]&gt;=70000,"High",IF(jobs[[#This Row],[Salary USD]]&gt;=30000,"Medium","Low"))</f>
        <v>Medium</v>
      </c>
    </row>
    <row r="8" spans="1:9" x14ac:dyDescent="0.25">
      <c r="A8" t="s">
        <v>13</v>
      </c>
      <c r="B8" t="s">
        <v>25</v>
      </c>
      <c r="C8" t="s">
        <v>27</v>
      </c>
      <c r="D8" t="s">
        <v>34</v>
      </c>
      <c r="E8" t="s">
        <v>39</v>
      </c>
      <c r="F8" t="s">
        <v>42</v>
      </c>
      <c r="G8">
        <v>105000</v>
      </c>
      <c r="H8" t="str">
        <f>_xlfn.XLOOKUP(jobs[[#This Row],[Country]],LOOKUP!$A$2:$A$8,LOOKUP!$B$2:$B$8,"Not Found")</f>
        <v>North America</v>
      </c>
      <c r="I8" t="str">
        <f>IF(jobs[[#This Row],[Salary USD]]&gt;=70000,"High",IF(jobs[[#This Row],[Salary USD]]&gt;=30000,"Medium","Low"))</f>
        <v>High</v>
      </c>
    </row>
    <row r="9" spans="1:9" x14ac:dyDescent="0.25">
      <c r="A9" t="s">
        <v>14</v>
      </c>
      <c r="B9" t="s">
        <v>24</v>
      </c>
      <c r="C9" t="s">
        <v>28</v>
      </c>
      <c r="D9" t="s">
        <v>35</v>
      </c>
      <c r="E9" t="s">
        <v>37</v>
      </c>
      <c r="F9" t="s">
        <v>40</v>
      </c>
      <c r="G9">
        <v>39000</v>
      </c>
      <c r="H9" t="str">
        <f>_xlfn.XLOOKUP(jobs[[#This Row],[Country]],LOOKUP!$A$2:$A$8,LOOKUP!$B$2:$B$8,"Not Found")</f>
        <v>Europe</v>
      </c>
      <c r="I9" t="str">
        <f>IF(jobs[[#This Row],[Salary USD]]&gt;=70000,"High",IF(jobs[[#This Row],[Salary USD]]&gt;=30000,"Medium","Low"))</f>
        <v>Medium</v>
      </c>
    </row>
    <row r="10" spans="1:9" x14ac:dyDescent="0.25">
      <c r="A10" t="s">
        <v>15</v>
      </c>
      <c r="B10" t="s">
        <v>22</v>
      </c>
      <c r="C10" t="s">
        <v>31</v>
      </c>
      <c r="D10" t="s">
        <v>33</v>
      </c>
      <c r="E10" t="s">
        <v>38</v>
      </c>
      <c r="F10" t="s">
        <v>41</v>
      </c>
      <c r="G10">
        <v>30000</v>
      </c>
      <c r="H10" t="str">
        <f>_xlfn.XLOOKUP(jobs[[#This Row],[Country]],LOOKUP!$A$2:$A$8,LOOKUP!$B$2:$B$8,"Not Found")</f>
        <v>Africa</v>
      </c>
      <c r="I10" t="str">
        <f>IF(jobs[[#This Row],[Salary USD]]&gt;=70000,"High",IF(jobs[[#This Row],[Salary USD]]&gt;=30000,"Medium","Low"))</f>
        <v>Medium</v>
      </c>
    </row>
    <row r="11" spans="1:9" x14ac:dyDescent="0.25">
      <c r="A11" t="s">
        <v>16</v>
      </c>
      <c r="B11" t="s">
        <v>23</v>
      </c>
      <c r="C11" t="s">
        <v>32</v>
      </c>
      <c r="D11" t="s">
        <v>34</v>
      </c>
      <c r="E11" t="s">
        <v>39</v>
      </c>
      <c r="F11" t="s">
        <v>42</v>
      </c>
      <c r="G11">
        <v>92000</v>
      </c>
      <c r="H11" t="str">
        <f>_xlfn.XLOOKUP(jobs[[#This Row],[Country]],LOOKUP!$A$2:$A$8,LOOKUP!$B$2:$B$8,"Not Found")</f>
        <v>North America</v>
      </c>
      <c r="I11" t="str">
        <f>IF(jobs[[#This Row],[Salary USD]]&gt;=70000,"High",IF(jobs[[#This Row],[Salary USD]]&gt;=30000,"Medium","Low"))</f>
        <v>High</v>
      </c>
    </row>
    <row r="12" spans="1:9" x14ac:dyDescent="0.25">
      <c r="A12" t="s">
        <v>17</v>
      </c>
      <c r="B12" t="s">
        <v>22</v>
      </c>
      <c r="C12" t="s">
        <v>30</v>
      </c>
      <c r="D12" t="s">
        <v>36</v>
      </c>
      <c r="E12" t="s">
        <v>37</v>
      </c>
      <c r="F12" t="s">
        <v>40</v>
      </c>
      <c r="G12">
        <v>18000</v>
      </c>
      <c r="H12" t="str">
        <f>_xlfn.XLOOKUP(jobs[[#This Row],[Country]],LOOKUP!$A$2:$A$8,LOOKUP!$B$2:$B$8,"Not Found")</f>
        <v>Asia</v>
      </c>
      <c r="I12" t="str">
        <f>IF(jobs[[#This Row],[Salary USD]]&gt;=70000,"High",IF(jobs[[#This Row],[Salary USD]]&gt;=30000,"Medium","Low"))</f>
        <v>Low</v>
      </c>
    </row>
    <row r="13" spans="1:9" x14ac:dyDescent="0.25">
      <c r="A13" t="s">
        <v>18</v>
      </c>
      <c r="B13" t="s">
        <v>25</v>
      </c>
      <c r="C13" t="s">
        <v>29</v>
      </c>
      <c r="D13" t="s">
        <v>35</v>
      </c>
      <c r="E13" t="s">
        <v>38</v>
      </c>
      <c r="F13" t="s">
        <v>42</v>
      </c>
      <c r="G13">
        <v>76000</v>
      </c>
      <c r="H13" t="str">
        <f>_xlfn.XLOOKUP(jobs[[#This Row],[Country]],LOOKUP!$A$2:$A$8,LOOKUP!$B$2:$B$8,"Not Found")</f>
        <v>Europe</v>
      </c>
      <c r="I13" t="str">
        <f>IF(jobs[[#This Row],[Salary USD]]&gt;=70000,"High",IF(jobs[[#This Row],[Salary USD]]&gt;=30000,"Medium","Low"))</f>
        <v>High</v>
      </c>
    </row>
    <row r="14" spans="1:9" x14ac:dyDescent="0.25">
      <c r="A14" t="s">
        <v>19</v>
      </c>
      <c r="B14" t="s">
        <v>24</v>
      </c>
      <c r="C14" t="s">
        <v>30</v>
      </c>
      <c r="D14" t="s">
        <v>36</v>
      </c>
      <c r="E14" t="s">
        <v>37</v>
      </c>
      <c r="F14" t="s">
        <v>40</v>
      </c>
      <c r="G14">
        <v>14000</v>
      </c>
      <c r="H14" t="str">
        <f>_xlfn.XLOOKUP(jobs[[#This Row],[Country]],LOOKUP!$A$2:$A$8,LOOKUP!$B$2:$B$8,"Not Found")</f>
        <v>Asia</v>
      </c>
      <c r="I14" t="str">
        <f>IF(jobs[[#This Row],[Salary USD]]&gt;=70000,"High",IF(jobs[[#This Row],[Salary USD]]&gt;=30000,"Medium","Low"))</f>
        <v>Low</v>
      </c>
    </row>
    <row r="15" spans="1:9" x14ac:dyDescent="0.25">
      <c r="A15" t="s">
        <v>20</v>
      </c>
      <c r="B15" t="s">
        <v>23</v>
      </c>
      <c r="C15" t="s">
        <v>26</v>
      </c>
      <c r="D15" t="s">
        <v>33</v>
      </c>
      <c r="E15" t="s">
        <v>39</v>
      </c>
      <c r="F15" t="s">
        <v>41</v>
      </c>
      <c r="G15">
        <v>28000</v>
      </c>
      <c r="H15" t="str">
        <f>_xlfn.XLOOKUP(jobs[[#This Row],[Country]],LOOKUP!$A$2:$A$8,LOOKUP!$B$2:$B$8,"Not Found")</f>
        <v>Africa</v>
      </c>
      <c r="I15" t="str">
        <f>IF(jobs[[#This Row],[Salary USD]]&gt;=70000,"High",IF(jobs[[#This Row],[Salary USD]]&gt;=30000,"Medium","Low"))</f>
        <v>Low</v>
      </c>
    </row>
    <row r="16" spans="1:9" x14ac:dyDescent="0.25">
      <c r="A16" t="s">
        <v>21</v>
      </c>
      <c r="B16" t="s">
        <v>22</v>
      </c>
      <c r="C16" t="s">
        <v>32</v>
      </c>
      <c r="D16" t="s">
        <v>34</v>
      </c>
      <c r="E16" t="s">
        <v>38</v>
      </c>
      <c r="F16" t="s">
        <v>41</v>
      </c>
      <c r="G16">
        <v>65000</v>
      </c>
      <c r="H16" t="str">
        <f>_xlfn.XLOOKUP(jobs[[#This Row],[Country]],LOOKUP!$A$2:$A$8,LOOKUP!$B$2:$B$8,"Not Found")</f>
        <v>North America</v>
      </c>
      <c r="I16" t="str">
        <f>IF(jobs[[#This Row],[Salary USD]]&gt;=70000,"High",IF(jobs[[#This Row],[Salary USD]]&gt;=30000,"Medium","Low"))</f>
        <v>Medium</v>
      </c>
    </row>
  </sheetData>
  <phoneticPr fontId="2" type="noConversion"/>
  <conditionalFormatting sqref="G2:G16">
    <cfRule type="colorScale" priority="1">
      <colorScale>
        <cfvo type="min"/>
        <cfvo type="percentile" val="50"/>
        <cfvo type="max"/>
        <color rgb="FFF8696B"/>
        <color rgb="FFFCFCFF"/>
        <color rgb="FF5A8AC6"/>
      </colorScale>
    </cfRule>
    <cfRule type="colorScale" priority="2">
      <colorScale>
        <cfvo type="min"/>
        <cfvo type="max"/>
        <color theme="1" tint="0.499984740745262"/>
        <color theme="3" tint="0.249977111117893"/>
      </colorScale>
    </cfRule>
    <cfRule type="colorScale" priority="3">
      <colorScale>
        <cfvo type="min"/>
        <cfvo type="max"/>
        <color theme="2" tint="-0.249977111117893"/>
        <color theme="4" tint="-0.499984740745262"/>
      </colorScale>
    </cfRule>
  </conditionalFormatting>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60F322-6D89-41B7-85CD-DBE8EE0F9279}">
  <dimension ref="A1:B8"/>
  <sheetViews>
    <sheetView workbookViewId="0">
      <selection activeCell="B1" sqref="B1:B1048576"/>
    </sheetView>
  </sheetViews>
  <sheetFormatPr defaultRowHeight="15" x14ac:dyDescent="0.25"/>
  <cols>
    <col min="1" max="1" width="15.140625" bestFit="1" customWidth="1"/>
    <col min="2" max="2" width="13.85546875" bestFit="1" customWidth="1"/>
  </cols>
  <sheetData>
    <row r="1" spans="1:2" x14ac:dyDescent="0.25">
      <c r="A1" t="s">
        <v>2</v>
      </c>
      <c r="B1" t="s">
        <v>3</v>
      </c>
    </row>
    <row r="2" spans="1:2" x14ac:dyDescent="0.25">
      <c r="A2" t="str" cm="1">
        <f t="array" ref="A2:A8">_xlfn.UNIQUE(jobs[Country])</f>
        <v>Kenya</v>
      </c>
      <c r="B2" t="s">
        <v>33</v>
      </c>
    </row>
    <row r="3" spans="1:2" x14ac:dyDescent="0.25">
      <c r="A3" t="str">
        <v>United States</v>
      </c>
      <c r="B3" t="s">
        <v>34</v>
      </c>
    </row>
    <row r="4" spans="1:2" x14ac:dyDescent="0.25">
      <c r="A4" t="str">
        <v>Germany</v>
      </c>
      <c r="B4" t="s">
        <v>35</v>
      </c>
    </row>
    <row r="5" spans="1:2" x14ac:dyDescent="0.25">
      <c r="A5" t="str">
        <v>United Kingdom</v>
      </c>
      <c r="B5" t="s">
        <v>35</v>
      </c>
    </row>
    <row r="6" spans="1:2" x14ac:dyDescent="0.25">
      <c r="A6" t="str">
        <v>India</v>
      </c>
      <c r="B6" t="s">
        <v>36</v>
      </c>
    </row>
    <row r="7" spans="1:2" x14ac:dyDescent="0.25">
      <c r="A7" t="str">
        <v>South Africa</v>
      </c>
      <c r="B7" t="s">
        <v>33</v>
      </c>
    </row>
    <row r="8" spans="1:2" x14ac:dyDescent="0.25">
      <c r="A8" t="str">
        <v>Canada</v>
      </c>
      <c r="B8" t="s">
        <v>34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CAB34C-2FF0-487E-A661-DCED2938E8D0}">
  <dimension ref="A3:I101"/>
  <sheetViews>
    <sheetView topLeftCell="A88" workbookViewId="0">
      <selection activeCell="L10" sqref="L8:L21"/>
    </sheetView>
  </sheetViews>
  <sheetFormatPr defaultRowHeight="15" x14ac:dyDescent="0.25"/>
  <cols>
    <col min="1" max="1" width="15.140625" bestFit="1" customWidth="1"/>
    <col min="2" max="2" width="20.85546875" bestFit="1" customWidth="1"/>
    <col min="3" max="3" width="7.7109375" bestFit="1" customWidth="1"/>
    <col min="4" max="4" width="8.140625" bestFit="1" customWidth="1"/>
    <col min="5" max="5" width="11.28515625" bestFit="1" customWidth="1"/>
    <col min="6" max="6" width="14.85546875" bestFit="1" customWidth="1"/>
    <col min="7" max="7" width="15.85546875" bestFit="1" customWidth="1"/>
    <col min="8" max="8" width="19.85546875" bestFit="1" customWidth="1"/>
    <col min="9" max="9" width="20.85546875" bestFit="1" customWidth="1"/>
  </cols>
  <sheetData>
    <row r="3" spans="1:2" x14ac:dyDescent="0.25">
      <c r="A3" s="2" t="s">
        <v>44</v>
      </c>
      <c r="B3" t="s">
        <v>46</v>
      </c>
    </row>
    <row r="4" spans="1:2" x14ac:dyDescent="0.25">
      <c r="A4" s="3" t="s">
        <v>33</v>
      </c>
      <c r="B4" s="4">
        <v>20000</v>
      </c>
    </row>
    <row r="5" spans="1:2" x14ac:dyDescent="0.25">
      <c r="A5" s="3" t="s">
        <v>36</v>
      </c>
      <c r="B5" s="4">
        <v>24666.666666666668</v>
      </c>
    </row>
    <row r="6" spans="1:2" x14ac:dyDescent="0.25">
      <c r="A6" s="3" t="s">
        <v>35</v>
      </c>
      <c r="B6" s="4">
        <v>63750</v>
      </c>
    </row>
    <row r="7" spans="1:2" x14ac:dyDescent="0.25">
      <c r="A7" s="3" t="s">
        <v>34</v>
      </c>
      <c r="B7" s="4">
        <v>86750</v>
      </c>
    </row>
    <row r="8" spans="1:2" x14ac:dyDescent="0.25">
      <c r="A8" s="3" t="s">
        <v>45</v>
      </c>
      <c r="B8" s="4">
        <v>50400</v>
      </c>
    </row>
    <row r="11" spans="1:2" x14ac:dyDescent="0.25">
      <c r="A11" s="2" t="s">
        <v>44</v>
      </c>
      <c r="B11" t="s">
        <v>43</v>
      </c>
    </row>
    <row r="12" spans="1:2" x14ac:dyDescent="0.25">
      <c r="A12" s="3" t="s">
        <v>22</v>
      </c>
      <c r="B12" s="1">
        <v>6</v>
      </c>
    </row>
    <row r="13" spans="1:2" x14ac:dyDescent="0.25">
      <c r="A13" s="3" t="s">
        <v>23</v>
      </c>
      <c r="B13" s="1">
        <v>4</v>
      </c>
    </row>
    <row r="14" spans="1:2" x14ac:dyDescent="0.25">
      <c r="A14" s="3" t="s">
        <v>24</v>
      </c>
      <c r="B14" s="1">
        <v>3</v>
      </c>
    </row>
    <row r="15" spans="1:2" x14ac:dyDescent="0.25">
      <c r="A15" s="3" t="s">
        <v>25</v>
      </c>
      <c r="B15" s="1">
        <v>2</v>
      </c>
    </row>
    <row r="16" spans="1:2" x14ac:dyDescent="0.25">
      <c r="A16" s="3" t="s">
        <v>45</v>
      </c>
      <c r="B16" s="1">
        <v>15</v>
      </c>
    </row>
    <row r="19" spans="1:5" x14ac:dyDescent="0.25">
      <c r="A19" s="2" t="s">
        <v>43</v>
      </c>
      <c r="B19" s="2" t="s">
        <v>49</v>
      </c>
    </row>
    <row r="20" spans="1:5" x14ac:dyDescent="0.25">
      <c r="A20" s="2" t="s">
        <v>44</v>
      </c>
      <c r="B20" t="s">
        <v>50</v>
      </c>
      <c r="C20" t="s">
        <v>51</v>
      </c>
      <c r="D20" t="s">
        <v>52</v>
      </c>
      <c r="E20" t="s">
        <v>45</v>
      </c>
    </row>
    <row r="21" spans="1:5" x14ac:dyDescent="0.25">
      <c r="A21" s="3" t="s">
        <v>33</v>
      </c>
      <c r="B21" s="1"/>
      <c r="C21" s="1">
        <v>3</v>
      </c>
      <c r="D21" s="1">
        <v>1</v>
      </c>
      <c r="E21" s="1">
        <v>4</v>
      </c>
    </row>
    <row r="22" spans="1:5" x14ac:dyDescent="0.25">
      <c r="A22" s="3" t="s">
        <v>36</v>
      </c>
      <c r="B22" s="1"/>
      <c r="C22" s="1">
        <v>2</v>
      </c>
      <c r="D22" s="1">
        <v>1</v>
      </c>
      <c r="E22" s="1">
        <v>3</v>
      </c>
    </row>
    <row r="23" spans="1:5" x14ac:dyDescent="0.25">
      <c r="A23" s="3" t="s">
        <v>35</v>
      </c>
      <c r="B23" s="1">
        <v>2</v>
      </c>
      <c r="C23" s="1"/>
      <c r="D23" s="1">
        <v>2</v>
      </c>
      <c r="E23" s="1">
        <v>4</v>
      </c>
    </row>
    <row r="24" spans="1:5" x14ac:dyDescent="0.25">
      <c r="A24" s="3" t="s">
        <v>34</v>
      </c>
      <c r="B24" s="1">
        <v>3</v>
      </c>
      <c r="C24" s="1"/>
      <c r="D24" s="1">
        <v>1</v>
      </c>
      <c r="E24" s="1">
        <v>4</v>
      </c>
    </row>
    <row r="25" spans="1:5" x14ac:dyDescent="0.25">
      <c r="A25" s="3" t="s">
        <v>45</v>
      </c>
      <c r="B25" s="1">
        <v>5</v>
      </c>
      <c r="C25" s="1">
        <v>5</v>
      </c>
      <c r="D25" s="1">
        <v>5</v>
      </c>
      <c r="E25" s="1">
        <v>15</v>
      </c>
    </row>
    <row r="28" spans="1:5" x14ac:dyDescent="0.25">
      <c r="A28" s="2" t="s">
        <v>44</v>
      </c>
      <c r="B28" t="s">
        <v>43</v>
      </c>
    </row>
    <row r="29" spans="1:5" x14ac:dyDescent="0.25">
      <c r="A29" s="3" t="s">
        <v>39</v>
      </c>
      <c r="B29" s="1">
        <v>5</v>
      </c>
    </row>
    <row r="30" spans="1:5" x14ac:dyDescent="0.25">
      <c r="A30" s="3" t="s">
        <v>37</v>
      </c>
      <c r="B30" s="1">
        <v>5</v>
      </c>
    </row>
    <row r="31" spans="1:5" x14ac:dyDescent="0.25">
      <c r="A31" s="3" t="s">
        <v>38</v>
      </c>
      <c r="B31" s="1">
        <v>5</v>
      </c>
    </row>
    <row r="32" spans="1:5" x14ac:dyDescent="0.25">
      <c r="A32" s="3" t="s">
        <v>45</v>
      </c>
      <c r="B32" s="1">
        <v>15</v>
      </c>
    </row>
    <row r="35" spans="1:2" x14ac:dyDescent="0.25">
      <c r="A35" s="2" t="s">
        <v>44</v>
      </c>
      <c r="B35" t="s">
        <v>43</v>
      </c>
    </row>
    <row r="36" spans="1:2" x14ac:dyDescent="0.25">
      <c r="A36" s="3" t="s">
        <v>33</v>
      </c>
      <c r="B36" s="1">
        <v>4</v>
      </c>
    </row>
    <row r="37" spans="1:2" x14ac:dyDescent="0.25">
      <c r="A37" s="3" t="s">
        <v>36</v>
      </c>
      <c r="B37" s="1">
        <v>3</v>
      </c>
    </row>
    <row r="38" spans="1:2" x14ac:dyDescent="0.25">
      <c r="A38" s="3" t="s">
        <v>35</v>
      </c>
      <c r="B38" s="1">
        <v>4</v>
      </c>
    </row>
    <row r="39" spans="1:2" x14ac:dyDescent="0.25">
      <c r="A39" s="3" t="s">
        <v>34</v>
      </c>
      <c r="B39" s="1">
        <v>4</v>
      </c>
    </row>
    <row r="40" spans="1:2" x14ac:dyDescent="0.25">
      <c r="A40" s="3" t="s">
        <v>45</v>
      </c>
      <c r="B40" s="1">
        <v>15</v>
      </c>
    </row>
    <row r="43" spans="1:2" x14ac:dyDescent="0.25">
      <c r="A43" s="2" t="s">
        <v>44</v>
      </c>
      <c r="B43" t="s">
        <v>46</v>
      </c>
    </row>
    <row r="44" spans="1:2" x14ac:dyDescent="0.25">
      <c r="A44" s="3" t="s">
        <v>27</v>
      </c>
      <c r="B44" s="6">
        <v>95000</v>
      </c>
    </row>
    <row r="45" spans="1:2" x14ac:dyDescent="0.25">
      <c r="A45" s="3" t="s">
        <v>32</v>
      </c>
      <c r="B45" s="6">
        <v>78500</v>
      </c>
    </row>
    <row r="46" spans="1:2" x14ac:dyDescent="0.25">
      <c r="A46" s="3" t="s">
        <v>29</v>
      </c>
      <c r="B46" s="6">
        <v>72000</v>
      </c>
    </row>
    <row r="47" spans="1:2" x14ac:dyDescent="0.25">
      <c r="A47" s="3" t="s">
        <v>28</v>
      </c>
      <c r="B47" s="6">
        <v>55500</v>
      </c>
    </row>
    <row r="48" spans="1:2" x14ac:dyDescent="0.25">
      <c r="A48" s="3" t="s">
        <v>31</v>
      </c>
      <c r="B48" s="6">
        <v>30000</v>
      </c>
    </row>
    <row r="49" spans="1:5" x14ac:dyDescent="0.25">
      <c r="A49" s="3" t="s">
        <v>30</v>
      </c>
      <c r="B49" s="6">
        <v>24666.666666666668</v>
      </c>
    </row>
    <row r="50" spans="1:5" x14ac:dyDescent="0.25">
      <c r="A50" s="3" t="s">
        <v>26</v>
      </c>
      <c r="B50" s="6">
        <v>16666.666666666668</v>
      </c>
    </row>
    <row r="51" spans="1:5" x14ac:dyDescent="0.25">
      <c r="A51" s="3" t="s">
        <v>45</v>
      </c>
      <c r="B51" s="6">
        <v>50400</v>
      </c>
    </row>
    <row r="54" spans="1:5" x14ac:dyDescent="0.25">
      <c r="A54" s="2" t="s">
        <v>43</v>
      </c>
      <c r="B54" s="2" t="s">
        <v>49</v>
      </c>
    </row>
    <row r="55" spans="1:5" x14ac:dyDescent="0.25">
      <c r="A55" s="2" t="s">
        <v>44</v>
      </c>
      <c r="B55" t="s">
        <v>39</v>
      </c>
      <c r="C55" t="s">
        <v>37</v>
      </c>
      <c r="D55" t="s">
        <v>38</v>
      </c>
      <c r="E55" t="s">
        <v>45</v>
      </c>
    </row>
    <row r="56" spans="1:5" x14ac:dyDescent="0.25">
      <c r="A56" s="3" t="s">
        <v>33</v>
      </c>
      <c r="B56" s="1">
        <v>1</v>
      </c>
      <c r="C56" s="1">
        <v>2</v>
      </c>
      <c r="D56" s="1">
        <v>1</v>
      </c>
      <c r="E56" s="1">
        <v>4</v>
      </c>
    </row>
    <row r="57" spans="1:5" x14ac:dyDescent="0.25">
      <c r="A57" s="3" t="s">
        <v>36</v>
      </c>
      <c r="B57" s="1"/>
      <c r="C57" s="1">
        <v>2</v>
      </c>
      <c r="D57" s="1">
        <v>1</v>
      </c>
      <c r="E57" s="1">
        <v>3</v>
      </c>
    </row>
    <row r="58" spans="1:5" x14ac:dyDescent="0.25">
      <c r="A58" s="3" t="s">
        <v>35</v>
      </c>
      <c r="B58" s="1">
        <v>2</v>
      </c>
      <c r="C58" s="1">
        <v>1</v>
      </c>
      <c r="D58" s="1">
        <v>1</v>
      </c>
      <c r="E58" s="1">
        <v>4</v>
      </c>
    </row>
    <row r="59" spans="1:5" x14ac:dyDescent="0.25">
      <c r="A59" s="3" t="s">
        <v>34</v>
      </c>
      <c r="B59" s="1">
        <v>2</v>
      </c>
      <c r="C59" s="1"/>
      <c r="D59" s="1">
        <v>2</v>
      </c>
      <c r="E59" s="1">
        <v>4</v>
      </c>
    </row>
    <row r="60" spans="1:5" x14ac:dyDescent="0.25">
      <c r="A60" s="3" t="s">
        <v>45</v>
      </c>
      <c r="B60" s="1">
        <v>5</v>
      </c>
      <c r="C60" s="1">
        <v>5</v>
      </c>
      <c r="D60" s="1">
        <v>5</v>
      </c>
      <c r="E60" s="1">
        <v>15</v>
      </c>
    </row>
    <row r="63" spans="1:5" x14ac:dyDescent="0.25">
      <c r="A63" s="2" t="s">
        <v>44</v>
      </c>
      <c r="B63" t="s">
        <v>46</v>
      </c>
    </row>
    <row r="64" spans="1:5" x14ac:dyDescent="0.25">
      <c r="A64" s="3" t="s">
        <v>25</v>
      </c>
      <c r="B64" s="6">
        <v>90500</v>
      </c>
    </row>
    <row r="65" spans="1:2" x14ac:dyDescent="0.25">
      <c r="A65" s="3" t="s">
        <v>23</v>
      </c>
      <c r="B65" s="6">
        <v>58500</v>
      </c>
    </row>
    <row r="66" spans="1:2" x14ac:dyDescent="0.25">
      <c r="A66" s="3" t="s">
        <v>22</v>
      </c>
      <c r="B66" s="6">
        <v>46333.333333333336</v>
      </c>
    </row>
    <row r="67" spans="1:2" x14ac:dyDescent="0.25">
      <c r="A67" s="3" t="s">
        <v>24</v>
      </c>
      <c r="B67" s="6">
        <v>21000</v>
      </c>
    </row>
    <row r="68" spans="1:2" x14ac:dyDescent="0.25">
      <c r="A68" s="3" t="s">
        <v>45</v>
      </c>
      <c r="B68" s="6">
        <v>50400</v>
      </c>
    </row>
    <row r="71" spans="1:2" x14ac:dyDescent="0.25">
      <c r="A71" s="2" t="s">
        <v>44</v>
      </c>
      <c r="B71" t="s">
        <v>46</v>
      </c>
    </row>
    <row r="72" spans="1:2" x14ac:dyDescent="0.25">
      <c r="A72" s="3" t="s">
        <v>42</v>
      </c>
      <c r="B72" s="6">
        <v>85250</v>
      </c>
    </row>
    <row r="73" spans="1:2" x14ac:dyDescent="0.25">
      <c r="A73" s="3" t="s">
        <v>41</v>
      </c>
      <c r="B73" s="6">
        <v>53666.666666666664</v>
      </c>
    </row>
    <row r="74" spans="1:2" x14ac:dyDescent="0.25">
      <c r="A74" s="3" t="s">
        <v>40</v>
      </c>
      <c r="B74" s="6">
        <v>18600</v>
      </c>
    </row>
    <row r="75" spans="1:2" x14ac:dyDescent="0.25">
      <c r="A75" s="3" t="s">
        <v>45</v>
      </c>
      <c r="B75" s="6">
        <v>50400</v>
      </c>
    </row>
    <row r="78" spans="1:2" x14ac:dyDescent="0.25">
      <c r="A78" s="2" t="s">
        <v>44</v>
      </c>
      <c r="B78" t="s">
        <v>46</v>
      </c>
    </row>
    <row r="79" spans="1:2" x14ac:dyDescent="0.25">
      <c r="A79" s="3" t="s">
        <v>39</v>
      </c>
      <c r="B79" s="1">
        <v>73000</v>
      </c>
    </row>
    <row r="80" spans="1:2" x14ac:dyDescent="0.25">
      <c r="A80" s="3" t="s">
        <v>38</v>
      </c>
      <c r="B80" s="1">
        <v>59600</v>
      </c>
    </row>
    <row r="81" spans="1:9" x14ac:dyDescent="0.25">
      <c r="A81" s="3" t="s">
        <v>37</v>
      </c>
      <c r="B81" s="1">
        <v>18600</v>
      </c>
    </row>
    <row r="82" spans="1:9" x14ac:dyDescent="0.25">
      <c r="A82" s="3" t="s">
        <v>45</v>
      </c>
      <c r="B82" s="1">
        <v>50400</v>
      </c>
    </row>
    <row r="85" spans="1:9" x14ac:dyDescent="0.25">
      <c r="A85" s="2" t="s">
        <v>46</v>
      </c>
      <c r="B85" s="2" t="s">
        <v>49</v>
      </c>
    </row>
    <row r="86" spans="1:9" x14ac:dyDescent="0.25">
      <c r="A86" s="2" t="s">
        <v>44</v>
      </c>
      <c r="B86" t="s">
        <v>40</v>
      </c>
      <c r="C86" t="s">
        <v>41</v>
      </c>
      <c r="D86" t="s">
        <v>42</v>
      </c>
      <c r="E86" t="s">
        <v>45</v>
      </c>
    </row>
    <row r="87" spans="1:9" x14ac:dyDescent="0.25">
      <c r="A87" s="3" t="s">
        <v>25</v>
      </c>
      <c r="B87" s="6"/>
      <c r="C87" s="6"/>
      <c r="D87" s="6">
        <v>90500</v>
      </c>
      <c r="E87" s="6">
        <v>90500</v>
      </c>
    </row>
    <row r="88" spans="1:9" x14ac:dyDescent="0.25">
      <c r="A88" s="3" t="s">
        <v>22</v>
      </c>
      <c r="B88" s="6">
        <v>15000</v>
      </c>
      <c r="C88" s="6">
        <v>60000</v>
      </c>
      <c r="D88" s="6">
        <v>68000</v>
      </c>
      <c r="E88" s="6">
        <v>46333.333333333336</v>
      </c>
    </row>
    <row r="89" spans="1:9" x14ac:dyDescent="0.25">
      <c r="A89" s="3" t="s">
        <v>24</v>
      </c>
      <c r="B89" s="6">
        <v>21000</v>
      </c>
      <c r="C89" s="6"/>
      <c r="D89" s="6"/>
      <c r="E89" s="6">
        <v>21000</v>
      </c>
    </row>
    <row r="90" spans="1:9" x14ac:dyDescent="0.25">
      <c r="A90" s="3" t="s">
        <v>23</v>
      </c>
      <c r="B90" s="6"/>
      <c r="C90" s="6">
        <v>47333.333333333336</v>
      </c>
      <c r="D90" s="6">
        <v>92000</v>
      </c>
      <c r="E90" s="6">
        <v>58500</v>
      </c>
    </row>
    <row r="91" spans="1:9" x14ac:dyDescent="0.25">
      <c r="A91" s="3" t="s">
        <v>45</v>
      </c>
      <c r="B91" s="6">
        <v>18600</v>
      </c>
      <c r="C91" s="6">
        <v>53666.666666666664</v>
      </c>
      <c r="D91" s="6">
        <v>85250</v>
      </c>
      <c r="E91" s="6">
        <v>50400</v>
      </c>
    </row>
    <row r="94" spans="1:9" x14ac:dyDescent="0.25">
      <c r="B94" s="2" t="s">
        <v>49</v>
      </c>
    </row>
    <row r="95" spans="1:9" x14ac:dyDescent="0.25">
      <c r="B95" t="s">
        <v>39</v>
      </c>
      <c r="D95" t="s">
        <v>37</v>
      </c>
      <c r="F95" t="s">
        <v>38</v>
      </c>
      <c r="H95" t="s">
        <v>59</v>
      </c>
      <c r="I95" t="s">
        <v>60</v>
      </c>
    </row>
    <row r="96" spans="1:9" x14ac:dyDescent="0.25">
      <c r="A96" s="2" t="s">
        <v>44</v>
      </c>
      <c r="B96" t="s">
        <v>43</v>
      </c>
      <c r="C96" t="s">
        <v>61</v>
      </c>
      <c r="D96" t="s">
        <v>43</v>
      </c>
      <c r="E96" t="s">
        <v>61</v>
      </c>
      <c r="F96" t="s">
        <v>43</v>
      </c>
      <c r="G96" t="s">
        <v>61</v>
      </c>
    </row>
    <row r="97" spans="1:9" x14ac:dyDescent="0.25">
      <c r="A97" s="3" t="s">
        <v>25</v>
      </c>
      <c r="B97" s="1">
        <v>1</v>
      </c>
      <c r="C97" s="16">
        <v>0.5</v>
      </c>
      <c r="D97" s="1"/>
      <c r="E97" s="16">
        <v>0</v>
      </c>
      <c r="F97" s="1">
        <v>1</v>
      </c>
      <c r="G97" s="16">
        <v>0.5</v>
      </c>
      <c r="H97" s="1">
        <v>2</v>
      </c>
      <c r="I97" s="16">
        <v>1</v>
      </c>
    </row>
    <row r="98" spans="1:9" x14ac:dyDescent="0.25">
      <c r="A98" s="3" t="s">
        <v>22</v>
      </c>
      <c r="B98" s="1">
        <v>1</v>
      </c>
      <c r="C98" s="16">
        <v>0.16666666666666666</v>
      </c>
      <c r="D98" s="1">
        <v>2</v>
      </c>
      <c r="E98" s="16">
        <v>0.33333333333333331</v>
      </c>
      <c r="F98" s="1">
        <v>3</v>
      </c>
      <c r="G98" s="16">
        <v>0.5</v>
      </c>
      <c r="H98" s="1">
        <v>6</v>
      </c>
      <c r="I98" s="16">
        <v>1</v>
      </c>
    </row>
    <row r="99" spans="1:9" x14ac:dyDescent="0.25">
      <c r="A99" s="3" t="s">
        <v>24</v>
      </c>
      <c r="B99" s="1"/>
      <c r="C99" s="16">
        <v>0</v>
      </c>
      <c r="D99" s="1">
        <v>3</v>
      </c>
      <c r="E99" s="16">
        <v>1</v>
      </c>
      <c r="F99" s="1"/>
      <c r="G99" s="16">
        <v>0</v>
      </c>
      <c r="H99" s="1">
        <v>3</v>
      </c>
      <c r="I99" s="16">
        <v>1</v>
      </c>
    </row>
    <row r="100" spans="1:9" x14ac:dyDescent="0.25">
      <c r="A100" s="3" t="s">
        <v>23</v>
      </c>
      <c r="B100" s="1">
        <v>3</v>
      </c>
      <c r="C100" s="16">
        <v>0.75</v>
      </c>
      <c r="D100" s="1"/>
      <c r="E100" s="16">
        <v>0</v>
      </c>
      <c r="F100" s="1">
        <v>1</v>
      </c>
      <c r="G100" s="16">
        <v>0.25</v>
      </c>
      <c r="H100" s="1">
        <v>4</v>
      </c>
      <c r="I100" s="16">
        <v>1</v>
      </c>
    </row>
    <row r="101" spans="1:9" x14ac:dyDescent="0.25">
      <c r="A101" s="3" t="s">
        <v>45</v>
      </c>
      <c r="B101" s="1">
        <v>5</v>
      </c>
      <c r="C101" s="16">
        <v>0.33333333333333331</v>
      </c>
      <c r="D101" s="1">
        <v>5</v>
      </c>
      <c r="E101" s="16">
        <v>0.33333333333333331</v>
      </c>
      <c r="F101" s="1">
        <v>5</v>
      </c>
      <c r="G101" s="16">
        <v>0.33333333333333331</v>
      </c>
      <c r="H101" s="1">
        <v>15</v>
      </c>
      <c r="I101" s="16">
        <v>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A766FA-C3DD-4866-B1CE-FD84BCAFB3F7}">
  <dimension ref="A2:R80"/>
  <sheetViews>
    <sheetView showGridLines="0" tabSelected="1" topLeftCell="A26" zoomScaleNormal="100" workbookViewId="0">
      <selection activeCell="J35" sqref="J35"/>
    </sheetView>
  </sheetViews>
  <sheetFormatPr defaultRowHeight="15" x14ac:dyDescent="0.25"/>
  <cols>
    <col min="1" max="1" width="19.85546875" bestFit="1" customWidth="1"/>
    <col min="2" max="2" width="14.85546875" bestFit="1" customWidth="1"/>
    <col min="12" max="12" width="16.5703125" customWidth="1"/>
  </cols>
  <sheetData>
    <row r="2" spans="2:18" ht="26.25" x14ac:dyDescent="0.4">
      <c r="B2" s="7" t="s">
        <v>53</v>
      </c>
      <c r="C2" s="7"/>
      <c r="D2" s="7"/>
      <c r="E2" s="7"/>
      <c r="F2" s="7"/>
      <c r="G2" s="7"/>
      <c r="H2" s="7"/>
      <c r="I2" s="7"/>
      <c r="J2" s="7"/>
      <c r="K2" s="7"/>
      <c r="L2" s="7"/>
      <c r="M2" s="7"/>
      <c r="N2" s="7"/>
      <c r="O2" s="7"/>
      <c r="P2" s="7"/>
      <c r="Q2" s="7"/>
      <c r="R2" s="7"/>
    </row>
    <row r="4" spans="2:18" x14ac:dyDescent="0.25">
      <c r="B4" s="9" t="s">
        <v>54</v>
      </c>
      <c r="F4" s="5"/>
      <c r="H4" s="10" t="s">
        <v>55</v>
      </c>
      <c r="I4" s="10"/>
      <c r="J4" s="10" t="s">
        <v>56</v>
      </c>
      <c r="K4" s="10"/>
      <c r="L4" s="10"/>
      <c r="Q4" s="10" t="s">
        <v>57</v>
      </c>
      <c r="R4" s="10"/>
    </row>
    <row r="5" spans="2:18" ht="69.75" customHeight="1" x14ac:dyDescent="0.25">
      <c r="B5" s="14">
        <f>A62</f>
        <v>15</v>
      </c>
      <c r="H5" s="13">
        <f>A67</f>
        <v>50400</v>
      </c>
      <c r="I5" s="13"/>
      <c r="J5" s="11" t="str">
        <f>_xlfn.LET(
_xlpm.da,IFERROR(GETPIVOTDATA("Job ID",$A$76,"Job Title","Data Analyst"),0),
_xlpm.se,IFERROR(GETPIVOTDATA("Job ID",$A$76,"Job Title","Software Engineer"),0),
_xlpm.it,IFERROR(GETPIVOTDATA("Job ID",$A$76,"Job Title","IT Support Specialist"),0),
_xlpm.cs,IFERROR(GETPIVOTDATA("Job ID",$A$76,"Job Title","Cybersecurity Analyst"),0),
_xlpm.top,MAX(_xlpm.da,_xlpm.se,_xlpm.it,_xlpm.cs),
_xlfn.TEXTJOIN(" / ",TRUE,
IF(_xlpm.da=_xlpm.top,"Data Analyst",""),
IF(_xlpm.se=_xlpm.top,"Software Engineer",""),
IF(_xlpm.it=_xlpm.top,"IT Support Specialist",""),
IF(_xlpm.cs=_xlpm.top,"Cybersecurity Analyst",""))
)</f>
        <v>Data Analyst</v>
      </c>
      <c r="K5" s="11"/>
      <c r="L5" s="11"/>
      <c r="Q5" s="15">
        <f>GETPIVOTDATA("Job ID",$A$70)</f>
        <v>5</v>
      </c>
      <c r="R5" s="15"/>
    </row>
    <row r="7" spans="2:18" ht="21" x14ac:dyDescent="0.35">
      <c r="L7" s="12" t="s">
        <v>58</v>
      </c>
      <c r="M7" s="12"/>
      <c r="N7" s="12"/>
      <c r="O7" s="12"/>
      <c r="P7" s="12"/>
      <c r="Q7" s="12"/>
      <c r="R7" s="12"/>
    </row>
    <row r="8" spans="2:18" x14ac:dyDescent="0.25">
      <c r="L8" t="str">
        <f>"The most common role is "&amp;J5&amp;", accounting for "&amp;TEXT(1/B5,"0.0%")&amp;" of the selected jobs."</f>
        <v>The most common role is Data Analyst, accounting for 6.7% of the selected jobs.</v>
      </c>
    </row>
    <row r="9" spans="2:18" x14ac:dyDescent="0.25">
      <c r="L9" t="str">
        <f>"The average salary for the selected data is "&amp;TEXT(H5,"$#,##0")</f>
        <v>The average salary for the selected data is $50,400</v>
      </c>
    </row>
    <row r="10" spans="2:18" x14ac:dyDescent="0.25">
      <c r="L10" t="str">
        <f>Q5&amp;" of "&amp;B5&amp;" selected jobs are remote ("&amp;TEXT(Q5/B5,"0.0%")&amp;")."</f>
        <v>5 of 15 selected jobs are remote (33.3%).</v>
      </c>
    </row>
    <row r="11" spans="2:18" x14ac:dyDescent="0.25">
      <c r="L11" t="str">
        <f>"The selected data contains "&amp;B5&amp;" jobs across different technology roles and "&amp;Q5&amp;" are remote."</f>
        <v>The selected data contains 15 jobs across different technology roles and 5 are remote.</v>
      </c>
    </row>
    <row r="12" spans="2:18" x14ac:dyDescent="0.25">
      <c r="L12" s="8"/>
    </row>
    <row r="60" spans="1:1" x14ac:dyDescent="0.25">
      <c r="A60" t="s">
        <v>43</v>
      </c>
    </row>
    <row r="61" spans="1:1" x14ac:dyDescent="0.25">
      <c r="A61" s="1">
        <v>15</v>
      </c>
    </row>
    <row r="62" spans="1:1" x14ac:dyDescent="0.25">
      <c r="A62">
        <f>GETPIVOTDATA("Job ID",$A$60)</f>
        <v>15</v>
      </c>
    </row>
    <row r="65" spans="1:2" x14ac:dyDescent="0.25">
      <c r="A65" t="s">
        <v>46</v>
      </c>
    </row>
    <row r="66" spans="1:2" x14ac:dyDescent="0.25">
      <c r="A66" s="6">
        <v>50400</v>
      </c>
    </row>
    <row r="67" spans="1:2" x14ac:dyDescent="0.25">
      <c r="A67" s="6">
        <f>GETPIVOTDATA("Salary USD",$A$65)</f>
        <v>50400</v>
      </c>
    </row>
    <row r="68" spans="1:2" x14ac:dyDescent="0.25">
      <c r="A68" s="2" t="s">
        <v>4</v>
      </c>
      <c r="B68" t="s">
        <v>38</v>
      </c>
    </row>
    <row r="70" spans="1:2" x14ac:dyDescent="0.25">
      <c r="A70" t="s">
        <v>43</v>
      </c>
    </row>
    <row r="71" spans="1:2" x14ac:dyDescent="0.25">
      <c r="A71" s="1">
        <v>5</v>
      </c>
    </row>
    <row r="72" spans="1:2" x14ac:dyDescent="0.25">
      <c r="A72">
        <f>GETPIVOTDATA("Job ID",$A$68)</f>
        <v>5</v>
      </c>
    </row>
    <row r="75" spans="1:2" x14ac:dyDescent="0.25">
      <c r="A75" s="2" t="s">
        <v>44</v>
      </c>
      <c r="B75" t="s">
        <v>43</v>
      </c>
    </row>
    <row r="76" spans="1:2" x14ac:dyDescent="0.25">
      <c r="A76" s="3" t="s">
        <v>22</v>
      </c>
      <c r="B76" s="1">
        <v>6</v>
      </c>
    </row>
    <row r="77" spans="1:2" x14ac:dyDescent="0.25">
      <c r="A77" s="3" t="s">
        <v>23</v>
      </c>
      <c r="B77" s="1">
        <v>4</v>
      </c>
    </row>
    <row r="78" spans="1:2" x14ac:dyDescent="0.25">
      <c r="A78" s="3" t="s">
        <v>24</v>
      </c>
      <c r="B78" s="1">
        <v>3</v>
      </c>
    </row>
    <row r="79" spans="1:2" x14ac:dyDescent="0.25">
      <c r="A79" s="3" t="s">
        <v>25</v>
      </c>
      <c r="B79" s="1">
        <v>2</v>
      </c>
    </row>
    <row r="80" spans="1:2" x14ac:dyDescent="0.25">
      <c r="A80" s="3" t="s">
        <v>45</v>
      </c>
      <c r="B80" s="1">
        <v>15</v>
      </c>
    </row>
  </sheetData>
  <mergeCells count="8">
    <mergeCell ref="B2:R2"/>
    <mergeCell ref="L7:R7"/>
    <mergeCell ref="H4:I4"/>
    <mergeCell ref="H5:I5"/>
    <mergeCell ref="J4:L4"/>
    <mergeCell ref="J5:L5"/>
    <mergeCell ref="Q4:R4"/>
    <mergeCell ref="Q5:R5"/>
  </mergeCells>
  <pageMargins left="0.7" right="0.7" top="0.75" bottom="0.75" header="0.3" footer="0.3"/>
  <drawing r:id="rId5"/>
  <extLst>
    <ext xmlns:x14="http://schemas.microsoft.com/office/spreadsheetml/2009/9/main" uri="{A8765BA9-456A-4dab-B4F3-ACF838C121DE}">
      <x14:slicerList>
        <x14:slicer r:id="rId6"/>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vt:lpstr>
      <vt:lpstr>LOOKUP</vt:lpstr>
      <vt:lpstr>PIVOT</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shakwasamwel@gmail.com</dc:creator>
  <cp:lastModifiedBy>shakwasamwel@gmail.com</cp:lastModifiedBy>
  <dcterms:created xsi:type="dcterms:W3CDTF">2026-10-07T09:38:38Z</dcterms:created>
  <dcterms:modified xsi:type="dcterms:W3CDTF">2026-10-08T12:35:37Z</dcterms:modified>
</cp:coreProperties>
</file>